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ndre\Desktop\"/>
    </mc:Choice>
  </mc:AlternateContent>
  <xr:revisionPtr revIDLastSave="0" documentId="13_ncr:1_{94216F5D-AD42-47B5-AA42-C2656B84F5C1}" xr6:coauthVersionLast="47" xr6:coauthVersionMax="47" xr10:uidLastSave="{00000000-0000-0000-0000-000000000000}"/>
  <bookViews>
    <workbookView xWindow="-120" yWindow="-120" windowWidth="20730" windowHeight="11040" xr2:uid="{29B171E9-FBC0-4054-8875-E741CCD60CB2}"/>
  </bookViews>
  <sheets>
    <sheet name="Home" sheetId="1" r:id="rId1"/>
    <sheet name="Base" sheetId="2" r:id="rId2"/>
    <sheet name="Atualizações" sheetId="3" r:id="rId3"/>
    <sheet name="Chart Base" sheetId="4" r:id="rId4"/>
    <sheet name="KPI Values" sheetId="5" r:id="rId5"/>
  </sheets>
  <functionGroups builtInGroupCount="19"/>
  <definedNames>
    <definedName name="_xlchart.v2.0" hidden="1">'KPI Values'!$F$2:$F$11</definedName>
    <definedName name="_xlchart.v2.1" hidden="1">'KPI Values'!$G$2:$G$11</definedName>
    <definedName name="_xlchart.v2.2" hidden="1">'KPI Values'!$J$2:$J$11</definedName>
    <definedName name="_xlchart.v2.3" hidden="1">'KPI Values'!$K$2:$K$11</definedName>
    <definedName name="_xlchart.v2.4" hidden="1">'KPI Values'!$J$2:$J$11</definedName>
    <definedName name="_xlchart.v2.5" hidden="1">'KPI Values'!$K$2:$K$11</definedName>
    <definedName name="SegmentaçãodeDados_Statu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" i="5" l="1" a="1"/>
  <c r="N3" i="5" s="1"/>
  <c r="O3" i="5" a="1"/>
  <c r="O3" i="5" s="1"/>
  <c r="M3" i="5" a="1"/>
  <c r="M3" i="5" s="1"/>
  <c r="B9" i="5"/>
  <c r="D557" i="4"/>
  <c r="E557" i="4"/>
  <c r="F557" i="4" s="1"/>
  <c r="D556" i="4"/>
  <c r="E556" i="4"/>
  <c r="F556" i="4" s="1"/>
  <c r="D555" i="4"/>
  <c r="E555" i="4"/>
  <c r="F555" i="4" s="1"/>
  <c r="D554" i="4"/>
  <c r="E554" i="4"/>
  <c r="F554" i="4" s="1"/>
  <c r="D553" i="4"/>
  <c r="E553" i="4"/>
  <c r="F553" i="4" s="1"/>
  <c r="D552" i="4"/>
  <c r="E552" i="4"/>
  <c r="F552" i="4" s="1"/>
  <c r="D551" i="4"/>
  <c r="E551" i="4"/>
  <c r="F551" i="4" s="1"/>
  <c r="D550" i="4"/>
  <c r="E550" i="4"/>
  <c r="F550" i="4" s="1"/>
  <c r="G550" i="4" s="1"/>
  <c r="D549" i="4"/>
  <c r="E549" i="4"/>
  <c r="F549" i="4" s="1"/>
  <c r="D548" i="4"/>
  <c r="E548" i="4"/>
  <c r="F548" i="4" s="1"/>
  <c r="D547" i="4"/>
  <c r="E547" i="4"/>
  <c r="F547" i="4" s="1"/>
  <c r="D546" i="4"/>
  <c r="E546" i="4"/>
  <c r="F546" i="4" s="1"/>
  <c r="D545" i="4"/>
  <c r="E545" i="4"/>
  <c r="F545" i="4" s="1"/>
  <c r="D544" i="4"/>
  <c r="E544" i="4"/>
  <c r="F544" i="4" s="1"/>
  <c r="D543" i="4"/>
  <c r="E543" i="4"/>
  <c r="F543" i="4" s="1"/>
  <c r="D542" i="4"/>
  <c r="E542" i="4"/>
  <c r="F542" i="4" s="1"/>
  <c r="D541" i="4"/>
  <c r="E541" i="4"/>
  <c r="F541" i="4" s="1"/>
  <c r="D540" i="4"/>
  <c r="E540" i="4"/>
  <c r="F540" i="4" s="1"/>
  <c r="D539" i="4"/>
  <c r="E539" i="4"/>
  <c r="F539" i="4" s="1"/>
  <c r="D538" i="4"/>
  <c r="E538" i="4"/>
  <c r="F538" i="4" s="1"/>
  <c r="D537" i="4"/>
  <c r="E537" i="4"/>
  <c r="F537" i="4" s="1"/>
  <c r="G537" i="4" s="1"/>
  <c r="D536" i="4"/>
  <c r="E536" i="4"/>
  <c r="F536" i="4" s="1"/>
  <c r="G536" i="4" s="1"/>
  <c r="D535" i="4"/>
  <c r="E535" i="4"/>
  <c r="F535" i="4" s="1"/>
  <c r="D534" i="4"/>
  <c r="E534" i="4"/>
  <c r="F534" i="4" s="1"/>
  <c r="G534" i="4" s="1"/>
  <c r="D533" i="4"/>
  <c r="E533" i="4"/>
  <c r="F533" i="4" s="1"/>
  <c r="D532" i="4"/>
  <c r="E532" i="4"/>
  <c r="F532" i="4" s="1"/>
  <c r="D531" i="4"/>
  <c r="E531" i="4"/>
  <c r="F531" i="4" s="1"/>
  <c r="D530" i="4"/>
  <c r="E530" i="4"/>
  <c r="F530" i="4" s="1"/>
  <c r="D529" i="4"/>
  <c r="E529" i="4"/>
  <c r="F529" i="4" s="1"/>
  <c r="D528" i="4"/>
  <c r="E528" i="4"/>
  <c r="F528" i="4" s="1"/>
  <c r="D527" i="4"/>
  <c r="E527" i="4"/>
  <c r="F527" i="4" s="1"/>
  <c r="D526" i="4"/>
  <c r="E526" i="4"/>
  <c r="F526" i="4" s="1"/>
  <c r="D525" i="4"/>
  <c r="E525" i="4"/>
  <c r="F525" i="4" s="1"/>
  <c r="D524" i="4"/>
  <c r="E524" i="4"/>
  <c r="F524" i="4" s="1"/>
  <c r="D523" i="4"/>
  <c r="E523" i="4"/>
  <c r="F523" i="4" s="1"/>
  <c r="D522" i="4"/>
  <c r="E522" i="4"/>
  <c r="F522" i="4" s="1"/>
  <c r="D521" i="4"/>
  <c r="E521" i="4"/>
  <c r="F521" i="4" s="1"/>
  <c r="D520" i="4"/>
  <c r="E520" i="4"/>
  <c r="F520" i="4" s="1"/>
  <c r="D519" i="4"/>
  <c r="E519" i="4"/>
  <c r="F519" i="4" s="1"/>
  <c r="D518" i="4"/>
  <c r="E518" i="4"/>
  <c r="F518" i="4" s="1"/>
  <c r="D517" i="4"/>
  <c r="E517" i="4"/>
  <c r="F517" i="4" s="1"/>
  <c r="G517" i="4" s="1"/>
  <c r="D516" i="4"/>
  <c r="E516" i="4"/>
  <c r="F516" i="4" s="1"/>
  <c r="D515" i="4"/>
  <c r="E515" i="4"/>
  <c r="F515" i="4" s="1"/>
  <c r="D514" i="4"/>
  <c r="E514" i="4"/>
  <c r="F514" i="4" s="1"/>
  <c r="D513" i="4"/>
  <c r="E513" i="4"/>
  <c r="F513" i="4" s="1"/>
  <c r="D512" i="4"/>
  <c r="E512" i="4"/>
  <c r="F512" i="4" s="1"/>
  <c r="D511" i="4"/>
  <c r="E511" i="4"/>
  <c r="F511" i="4" s="1"/>
  <c r="D510" i="4"/>
  <c r="E510" i="4"/>
  <c r="F510" i="4" s="1"/>
  <c r="D509" i="4"/>
  <c r="E509" i="4"/>
  <c r="F509" i="4" s="1"/>
  <c r="D508" i="4"/>
  <c r="E508" i="4"/>
  <c r="F508" i="4" s="1"/>
  <c r="D507" i="4"/>
  <c r="E507" i="4"/>
  <c r="F507" i="4" s="1"/>
  <c r="G507" i="4" s="1"/>
  <c r="D506" i="4"/>
  <c r="E506" i="4"/>
  <c r="F506" i="4" s="1"/>
  <c r="D505" i="4"/>
  <c r="E505" i="4"/>
  <c r="F505" i="4" s="1"/>
  <c r="D504" i="4"/>
  <c r="E504" i="4"/>
  <c r="F504" i="4" s="1"/>
  <c r="D503" i="4"/>
  <c r="E503" i="4"/>
  <c r="F503" i="4" s="1"/>
  <c r="D502" i="4"/>
  <c r="E502" i="4"/>
  <c r="F502" i="4" s="1"/>
  <c r="D501" i="4"/>
  <c r="E501" i="4"/>
  <c r="F501" i="4" s="1"/>
  <c r="D500" i="4"/>
  <c r="E500" i="4"/>
  <c r="F500" i="4" s="1"/>
  <c r="D499" i="4"/>
  <c r="E499" i="4"/>
  <c r="F499" i="4" s="1"/>
  <c r="D498" i="4"/>
  <c r="E498" i="4"/>
  <c r="F498" i="4" s="1"/>
  <c r="D497" i="4"/>
  <c r="E497" i="4"/>
  <c r="F497" i="4" s="1"/>
  <c r="D496" i="4"/>
  <c r="E496" i="4"/>
  <c r="F496" i="4" s="1"/>
  <c r="D495" i="4"/>
  <c r="E495" i="4"/>
  <c r="F495" i="4" s="1"/>
  <c r="G495" i="4" s="1"/>
  <c r="D494" i="4"/>
  <c r="E494" i="4"/>
  <c r="F494" i="4" s="1"/>
  <c r="D493" i="4"/>
  <c r="E493" i="4"/>
  <c r="F493" i="4" s="1"/>
  <c r="D492" i="4"/>
  <c r="E492" i="4"/>
  <c r="F492" i="4" s="1"/>
  <c r="D491" i="4"/>
  <c r="E491" i="4"/>
  <c r="F491" i="4" s="1"/>
  <c r="D490" i="4"/>
  <c r="E490" i="4"/>
  <c r="F490" i="4" s="1"/>
  <c r="D489" i="4"/>
  <c r="E489" i="4"/>
  <c r="F489" i="4" s="1"/>
  <c r="D488" i="4"/>
  <c r="E488" i="4"/>
  <c r="F488" i="4" s="1"/>
  <c r="D487" i="4"/>
  <c r="E487" i="4"/>
  <c r="F487" i="4" s="1"/>
  <c r="D486" i="4"/>
  <c r="E486" i="4"/>
  <c r="F486" i="4" s="1"/>
  <c r="D485" i="4"/>
  <c r="E485" i="4"/>
  <c r="F485" i="4" s="1"/>
  <c r="D484" i="4"/>
  <c r="E484" i="4"/>
  <c r="F484" i="4" s="1"/>
  <c r="D483" i="4"/>
  <c r="E483" i="4"/>
  <c r="F483" i="4" s="1"/>
  <c r="D482" i="4"/>
  <c r="E482" i="4"/>
  <c r="F482" i="4" s="1"/>
  <c r="D481" i="4"/>
  <c r="E481" i="4"/>
  <c r="F481" i="4" s="1"/>
  <c r="D480" i="4"/>
  <c r="E480" i="4"/>
  <c r="F480" i="4" s="1"/>
  <c r="D479" i="4"/>
  <c r="E479" i="4"/>
  <c r="F479" i="4" s="1"/>
  <c r="D478" i="4"/>
  <c r="E478" i="4"/>
  <c r="F478" i="4" s="1"/>
  <c r="D477" i="4"/>
  <c r="E477" i="4"/>
  <c r="F477" i="4" s="1"/>
  <c r="G477" i="4" s="1"/>
  <c r="D476" i="4"/>
  <c r="E476" i="4"/>
  <c r="F476" i="4" s="1"/>
  <c r="D475" i="4"/>
  <c r="E475" i="4"/>
  <c r="F475" i="4" s="1"/>
  <c r="G475" i="4" s="1"/>
  <c r="D474" i="4"/>
  <c r="E474" i="4"/>
  <c r="F474" i="4" s="1"/>
  <c r="D473" i="4"/>
  <c r="E473" i="4"/>
  <c r="F473" i="4" s="1"/>
  <c r="D472" i="4"/>
  <c r="E472" i="4"/>
  <c r="F472" i="4" s="1"/>
  <c r="D471" i="4"/>
  <c r="E471" i="4"/>
  <c r="F471" i="4" s="1"/>
  <c r="D470" i="4"/>
  <c r="E470" i="4"/>
  <c r="F470" i="4" s="1"/>
  <c r="D469" i="4"/>
  <c r="E469" i="4"/>
  <c r="F469" i="4" s="1"/>
  <c r="D468" i="4"/>
  <c r="E468" i="4"/>
  <c r="F468" i="4" s="1"/>
  <c r="D467" i="4"/>
  <c r="E467" i="4"/>
  <c r="F467" i="4" s="1"/>
  <c r="D466" i="4"/>
  <c r="E466" i="4"/>
  <c r="F466" i="4" s="1"/>
  <c r="D465" i="4"/>
  <c r="E465" i="4"/>
  <c r="F465" i="4" s="1"/>
  <c r="G465" i="4" s="1"/>
  <c r="D464" i="4"/>
  <c r="E464" i="4"/>
  <c r="F464" i="4" s="1"/>
  <c r="D463" i="4"/>
  <c r="E463" i="4"/>
  <c r="F463" i="4" s="1"/>
  <c r="D462" i="4"/>
  <c r="E462" i="4"/>
  <c r="F462" i="4" s="1"/>
  <c r="D461" i="4"/>
  <c r="E461" i="4"/>
  <c r="F461" i="4" s="1"/>
  <c r="D460" i="4"/>
  <c r="E460" i="4"/>
  <c r="F460" i="4" s="1"/>
  <c r="D459" i="4"/>
  <c r="E459" i="4"/>
  <c r="F459" i="4" s="1"/>
  <c r="D458" i="4"/>
  <c r="E458" i="4"/>
  <c r="F458" i="4" s="1"/>
  <c r="D457" i="4"/>
  <c r="E457" i="4"/>
  <c r="F457" i="4" s="1"/>
  <c r="D456" i="4"/>
  <c r="E456" i="4"/>
  <c r="F456" i="4" s="1"/>
  <c r="D455" i="4"/>
  <c r="E455" i="4"/>
  <c r="F455" i="4" s="1"/>
  <c r="D454" i="4"/>
  <c r="E454" i="4"/>
  <c r="F454" i="4" s="1"/>
  <c r="D453" i="4"/>
  <c r="E453" i="4"/>
  <c r="F453" i="4" s="1"/>
  <c r="D452" i="4"/>
  <c r="E452" i="4"/>
  <c r="F452" i="4" s="1"/>
  <c r="D451" i="4"/>
  <c r="E451" i="4"/>
  <c r="F451" i="4" s="1"/>
  <c r="D450" i="4"/>
  <c r="E450" i="4"/>
  <c r="F450" i="4" s="1"/>
  <c r="D449" i="4"/>
  <c r="E449" i="4"/>
  <c r="F449" i="4" s="1"/>
  <c r="D448" i="4"/>
  <c r="E448" i="4"/>
  <c r="F448" i="4" s="1"/>
  <c r="G448" i="4" s="1"/>
  <c r="D447" i="4"/>
  <c r="E447" i="4"/>
  <c r="F447" i="4" s="1"/>
  <c r="D446" i="4"/>
  <c r="E446" i="4"/>
  <c r="F446" i="4" s="1"/>
  <c r="D445" i="4"/>
  <c r="E445" i="4"/>
  <c r="F445" i="4" s="1"/>
  <c r="G445" i="4" s="1"/>
  <c r="D444" i="4"/>
  <c r="E444" i="4"/>
  <c r="F444" i="4" s="1"/>
  <c r="D443" i="4"/>
  <c r="E443" i="4"/>
  <c r="F443" i="4" s="1"/>
  <c r="D442" i="4"/>
  <c r="E442" i="4"/>
  <c r="F442" i="4" s="1"/>
  <c r="G442" i="4" s="1"/>
  <c r="D441" i="4"/>
  <c r="E441" i="4"/>
  <c r="F441" i="4" s="1"/>
  <c r="D440" i="4"/>
  <c r="E440" i="4"/>
  <c r="F440" i="4" s="1"/>
  <c r="D439" i="4"/>
  <c r="E439" i="4"/>
  <c r="F439" i="4" s="1"/>
  <c r="D438" i="4"/>
  <c r="E438" i="4"/>
  <c r="F438" i="4" s="1"/>
  <c r="D437" i="4"/>
  <c r="E437" i="4"/>
  <c r="F437" i="4" s="1"/>
  <c r="G437" i="4" s="1"/>
  <c r="D436" i="4"/>
  <c r="E436" i="4"/>
  <c r="F436" i="4" s="1"/>
  <c r="G436" i="4" s="1"/>
  <c r="D435" i="4"/>
  <c r="E435" i="4"/>
  <c r="F435" i="4" s="1"/>
  <c r="D434" i="4"/>
  <c r="E434" i="4"/>
  <c r="F434" i="4" s="1"/>
  <c r="D433" i="4"/>
  <c r="E433" i="4"/>
  <c r="F433" i="4" s="1"/>
  <c r="D432" i="4"/>
  <c r="E432" i="4"/>
  <c r="F432" i="4" s="1"/>
  <c r="D431" i="4"/>
  <c r="E431" i="4"/>
  <c r="F431" i="4" s="1"/>
  <c r="D430" i="4"/>
  <c r="E430" i="4"/>
  <c r="F430" i="4" s="1"/>
  <c r="D429" i="4"/>
  <c r="E429" i="4"/>
  <c r="F429" i="4" s="1"/>
  <c r="D428" i="4"/>
  <c r="E428" i="4"/>
  <c r="F428" i="4" s="1"/>
  <c r="D427" i="4"/>
  <c r="E427" i="4"/>
  <c r="F427" i="4" s="1"/>
  <c r="D426" i="4"/>
  <c r="E426" i="4"/>
  <c r="F426" i="4" s="1"/>
  <c r="D425" i="4"/>
  <c r="E425" i="4"/>
  <c r="F425" i="4" s="1"/>
  <c r="D424" i="4"/>
  <c r="E424" i="4"/>
  <c r="F424" i="4" s="1"/>
  <c r="D423" i="4"/>
  <c r="E423" i="4"/>
  <c r="F423" i="4" s="1"/>
  <c r="D422" i="4"/>
  <c r="E422" i="4"/>
  <c r="F422" i="4" s="1"/>
  <c r="G422" i="4" s="1"/>
  <c r="D421" i="4"/>
  <c r="E421" i="4"/>
  <c r="F421" i="4" s="1"/>
  <c r="D420" i="4"/>
  <c r="E420" i="4"/>
  <c r="F420" i="4" s="1"/>
  <c r="D419" i="4"/>
  <c r="E419" i="4"/>
  <c r="F419" i="4" s="1"/>
  <c r="D418" i="4"/>
  <c r="E418" i="4"/>
  <c r="F418" i="4" s="1"/>
  <c r="D417" i="4"/>
  <c r="E417" i="4"/>
  <c r="F417" i="4" s="1"/>
  <c r="D416" i="4"/>
  <c r="E416" i="4"/>
  <c r="F416" i="4" s="1"/>
  <c r="G416" i="4" s="1"/>
  <c r="D415" i="4"/>
  <c r="E415" i="4"/>
  <c r="F415" i="4" s="1"/>
  <c r="D414" i="4"/>
  <c r="E414" i="4"/>
  <c r="F414" i="4" s="1"/>
  <c r="D413" i="4"/>
  <c r="E413" i="4"/>
  <c r="F413" i="4" s="1"/>
  <c r="D412" i="4"/>
  <c r="E412" i="4"/>
  <c r="F412" i="4" s="1"/>
  <c r="D411" i="4"/>
  <c r="E411" i="4"/>
  <c r="F411" i="4" s="1"/>
  <c r="D410" i="4"/>
  <c r="E410" i="4"/>
  <c r="F410" i="4" s="1"/>
  <c r="D409" i="4"/>
  <c r="E409" i="4"/>
  <c r="F409" i="4" s="1"/>
  <c r="D408" i="4"/>
  <c r="E408" i="4"/>
  <c r="F408" i="4" s="1"/>
  <c r="D407" i="4"/>
  <c r="E407" i="4"/>
  <c r="F407" i="4" s="1"/>
  <c r="D406" i="4"/>
  <c r="E406" i="4"/>
  <c r="F406" i="4" s="1"/>
  <c r="D405" i="4"/>
  <c r="E405" i="4"/>
  <c r="F405" i="4" s="1"/>
  <c r="D404" i="4"/>
  <c r="E404" i="4"/>
  <c r="F404" i="4" s="1"/>
  <c r="D403" i="4"/>
  <c r="E403" i="4"/>
  <c r="F403" i="4" s="1"/>
  <c r="G403" i="4" s="1"/>
  <c r="D402" i="4"/>
  <c r="E402" i="4"/>
  <c r="F402" i="4" s="1"/>
  <c r="D401" i="4"/>
  <c r="E401" i="4"/>
  <c r="F401" i="4" s="1"/>
  <c r="G401" i="4" s="1"/>
  <c r="D400" i="4"/>
  <c r="E400" i="4"/>
  <c r="F400" i="4" s="1"/>
  <c r="D399" i="4"/>
  <c r="E399" i="4"/>
  <c r="F399" i="4" s="1"/>
  <c r="D398" i="4"/>
  <c r="E398" i="4"/>
  <c r="F398" i="4" s="1"/>
  <c r="D397" i="4"/>
  <c r="E397" i="4"/>
  <c r="F397" i="4" s="1"/>
  <c r="D396" i="4"/>
  <c r="E396" i="4"/>
  <c r="F396" i="4" s="1"/>
  <c r="D395" i="4"/>
  <c r="E395" i="4"/>
  <c r="F395" i="4" s="1"/>
  <c r="D394" i="4"/>
  <c r="E394" i="4"/>
  <c r="F394" i="4" s="1"/>
  <c r="D393" i="4"/>
  <c r="E393" i="4"/>
  <c r="F393" i="4" s="1"/>
  <c r="D392" i="4"/>
  <c r="E392" i="4"/>
  <c r="F392" i="4" s="1"/>
  <c r="D391" i="4"/>
  <c r="E391" i="4"/>
  <c r="F391" i="4" s="1"/>
  <c r="D390" i="4"/>
  <c r="E390" i="4"/>
  <c r="F390" i="4" s="1"/>
  <c r="G390" i="4" s="1"/>
  <c r="D389" i="4"/>
  <c r="E389" i="4"/>
  <c r="F389" i="4" s="1"/>
  <c r="D388" i="4"/>
  <c r="E388" i="4"/>
  <c r="F388" i="4" s="1"/>
  <c r="D387" i="4"/>
  <c r="E387" i="4"/>
  <c r="F387" i="4" s="1"/>
  <c r="D386" i="4"/>
  <c r="E386" i="4"/>
  <c r="F386" i="4" s="1"/>
  <c r="D385" i="4"/>
  <c r="E385" i="4"/>
  <c r="F385" i="4" s="1"/>
  <c r="D384" i="4"/>
  <c r="E384" i="4"/>
  <c r="F384" i="4" s="1"/>
  <c r="D383" i="4"/>
  <c r="E383" i="4"/>
  <c r="F383" i="4" s="1"/>
  <c r="D382" i="4"/>
  <c r="E382" i="4"/>
  <c r="F382" i="4" s="1"/>
  <c r="D381" i="4"/>
  <c r="E381" i="4"/>
  <c r="F381" i="4" s="1"/>
  <c r="D380" i="4"/>
  <c r="E380" i="4"/>
  <c r="F380" i="4" s="1"/>
  <c r="D379" i="4"/>
  <c r="E379" i="4"/>
  <c r="F379" i="4" s="1"/>
  <c r="D378" i="4"/>
  <c r="E378" i="4"/>
  <c r="F378" i="4" s="1"/>
  <c r="D377" i="4"/>
  <c r="E377" i="4"/>
  <c r="F377" i="4" s="1"/>
  <c r="D376" i="4"/>
  <c r="E376" i="4"/>
  <c r="F376" i="4" s="1"/>
  <c r="D375" i="4"/>
  <c r="E375" i="4"/>
  <c r="F375" i="4" s="1"/>
  <c r="D374" i="4"/>
  <c r="E374" i="4"/>
  <c r="F374" i="4" s="1"/>
  <c r="D373" i="4"/>
  <c r="E373" i="4"/>
  <c r="F373" i="4" s="1"/>
  <c r="D372" i="4"/>
  <c r="E372" i="4"/>
  <c r="F372" i="4" s="1"/>
  <c r="D371" i="4"/>
  <c r="E371" i="4"/>
  <c r="F371" i="4" s="1"/>
  <c r="D370" i="4"/>
  <c r="E370" i="4"/>
  <c r="F370" i="4" s="1"/>
  <c r="D369" i="4"/>
  <c r="E369" i="4"/>
  <c r="F369" i="4" s="1"/>
  <c r="D368" i="4"/>
  <c r="E368" i="4"/>
  <c r="F368" i="4" s="1"/>
  <c r="D367" i="4"/>
  <c r="E367" i="4"/>
  <c r="F367" i="4" s="1"/>
  <c r="D366" i="4"/>
  <c r="E366" i="4"/>
  <c r="F366" i="4" s="1"/>
  <c r="D365" i="4"/>
  <c r="E365" i="4"/>
  <c r="F365" i="4" s="1"/>
  <c r="D364" i="4"/>
  <c r="E364" i="4"/>
  <c r="F364" i="4" s="1"/>
  <c r="D363" i="4"/>
  <c r="E363" i="4"/>
  <c r="F363" i="4" s="1"/>
  <c r="D362" i="4"/>
  <c r="E362" i="4"/>
  <c r="F362" i="4" s="1"/>
  <c r="D361" i="4"/>
  <c r="E361" i="4"/>
  <c r="F361" i="4" s="1"/>
  <c r="D360" i="4"/>
  <c r="E360" i="4"/>
  <c r="F360" i="4" s="1"/>
  <c r="D359" i="4"/>
  <c r="E359" i="4"/>
  <c r="F359" i="4" s="1"/>
  <c r="D358" i="4"/>
  <c r="E358" i="4"/>
  <c r="F358" i="4" s="1"/>
  <c r="D357" i="4"/>
  <c r="E357" i="4"/>
  <c r="F357" i="4" s="1"/>
  <c r="D356" i="4"/>
  <c r="E356" i="4"/>
  <c r="F356" i="4" s="1"/>
  <c r="D355" i="4"/>
  <c r="E355" i="4"/>
  <c r="F355" i="4" s="1"/>
  <c r="D354" i="4"/>
  <c r="E354" i="4"/>
  <c r="F354" i="4" s="1"/>
  <c r="D353" i="4"/>
  <c r="E353" i="4"/>
  <c r="F353" i="4" s="1"/>
  <c r="D352" i="4"/>
  <c r="E352" i="4"/>
  <c r="F352" i="4" s="1"/>
  <c r="D351" i="4"/>
  <c r="E351" i="4"/>
  <c r="F351" i="4" s="1"/>
  <c r="D350" i="4"/>
  <c r="E350" i="4"/>
  <c r="F350" i="4" s="1"/>
  <c r="D349" i="4"/>
  <c r="E349" i="4"/>
  <c r="F349" i="4" s="1"/>
  <c r="D348" i="4"/>
  <c r="E348" i="4"/>
  <c r="F348" i="4" s="1"/>
  <c r="D347" i="4"/>
  <c r="E347" i="4"/>
  <c r="F347" i="4" s="1"/>
  <c r="G347" i="4" s="1"/>
  <c r="D346" i="4"/>
  <c r="E346" i="4"/>
  <c r="F346" i="4" s="1"/>
  <c r="D345" i="4"/>
  <c r="E345" i="4"/>
  <c r="F345" i="4" s="1"/>
  <c r="D344" i="4"/>
  <c r="E344" i="4"/>
  <c r="F344" i="4" s="1"/>
  <c r="D343" i="4"/>
  <c r="E343" i="4"/>
  <c r="F343" i="4" s="1"/>
  <c r="D342" i="4"/>
  <c r="E342" i="4"/>
  <c r="F342" i="4" s="1"/>
  <c r="D341" i="4"/>
  <c r="E341" i="4"/>
  <c r="F341" i="4" s="1"/>
  <c r="D340" i="4"/>
  <c r="E340" i="4"/>
  <c r="F340" i="4" s="1"/>
  <c r="D339" i="4"/>
  <c r="E339" i="4"/>
  <c r="F339" i="4" s="1"/>
  <c r="D338" i="4"/>
  <c r="E338" i="4"/>
  <c r="F338" i="4" s="1"/>
  <c r="D337" i="4"/>
  <c r="E337" i="4"/>
  <c r="F337" i="4" s="1"/>
  <c r="D336" i="4"/>
  <c r="E336" i="4"/>
  <c r="F336" i="4" s="1"/>
  <c r="D335" i="4"/>
  <c r="E335" i="4"/>
  <c r="F335" i="4" s="1"/>
  <c r="D334" i="4"/>
  <c r="E334" i="4"/>
  <c r="F334" i="4" s="1"/>
  <c r="D333" i="4"/>
  <c r="E333" i="4"/>
  <c r="F333" i="4" s="1"/>
  <c r="D332" i="4"/>
  <c r="E332" i="4"/>
  <c r="F332" i="4" s="1"/>
  <c r="D331" i="4"/>
  <c r="E331" i="4"/>
  <c r="F331" i="4" s="1"/>
  <c r="D330" i="4"/>
  <c r="E330" i="4"/>
  <c r="F330" i="4" s="1"/>
  <c r="D329" i="4"/>
  <c r="E329" i="4"/>
  <c r="F329" i="4" s="1"/>
  <c r="D328" i="4"/>
  <c r="E328" i="4"/>
  <c r="F328" i="4" s="1"/>
  <c r="D327" i="4"/>
  <c r="E327" i="4"/>
  <c r="F327" i="4" s="1"/>
  <c r="D326" i="4"/>
  <c r="E326" i="4"/>
  <c r="F326" i="4" s="1"/>
  <c r="D325" i="4"/>
  <c r="E325" i="4"/>
  <c r="F325" i="4" s="1"/>
  <c r="D324" i="4"/>
  <c r="E324" i="4"/>
  <c r="F324" i="4" s="1"/>
  <c r="D323" i="4"/>
  <c r="E323" i="4"/>
  <c r="F323" i="4" s="1"/>
  <c r="D322" i="4"/>
  <c r="E322" i="4"/>
  <c r="F322" i="4" s="1"/>
  <c r="D321" i="4"/>
  <c r="E321" i="4"/>
  <c r="F321" i="4" s="1"/>
  <c r="G321" i="4" s="1"/>
  <c r="D320" i="4"/>
  <c r="E320" i="4"/>
  <c r="F320" i="4" s="1"/>
  <c r="D319" i="4"/>
  <c r="E319" i="4"/>
  <c r="F319" i="4" s="1"/>
  <c r="D318" i="4"/>
  <c r="E318" i="4"/>
  <c r="F318" i="4" s="1"/>
  <c r="D317" i="4"/>
  <c r="E317" i="4"/>
  <c r="F317" i="4" s="1"/>
  <c r="D316" i="4"/>
  <c r="E316" i="4"/>
  <c r="F316" i="4" s="1"/>
  <c r="D315" i="4"/>
  <c r="E315" i="4"/>
  <c r="F315" i="4" s="1"/>
  <c r="D314" i="4"/>
  <c r="E314" i="4"/>
  <c r="F314" i="4" s="1"/>
  <c r="D313" i="4"/>
  <c r="E313" i="4"/>
  <c r="F313" i="4" s="1"/>
  <c r="D312" i="4"/>
  <c r="E312" i="4"/>
  <c r="F312" i="4" s="1"/>
  <c r="D311" i="4"/>
  <c r="E311" i="4"/>
  <c r="F311" i="4" s="1"/>
  <c r="D310" i="4"/>
  <c r="E310" i="4"/>
  <c r="F310" i="4" s="1"/>
  <c r="D309" i="4"/>
  <c r="E309" i="4"/>
  <c r="F309" i="4" s="1"/>
  <c r="D308" i="4"/>
  <c r="E308" i="4"/>
  <c r="F308" i="4" s="1"/>
  <c r="D307" i="4"/>
  <c r="E307" i="4"/>
  <c r="F307" i="4" s="1"/>
  <c r="D306" i="4"/>
  <c r="E306" i="4"/>
  <c r="F306" i="4" s="1"/>
  <c r="D305" i="4"/>
  <c r="E305" i="4"/>
  <c r="F305" i="4" s="1"/>
  <c r="D304" i="4"/>
  <c r="E304" i="4"/>
  <c r="F304" i="4" s="1"/>
  <c r="D303" i="4"/>
  <c r="E303" i="4"/>
  <c r="F303" i="4" s="1"/>
  <c r="D302" i="4"/>
  <c r="E302" i="4"/>
  <c r="F302" i="4" s="1"/>
  <c r="D301" i="4"/>
  <c r="E301" i="4"/>
  <c r="F301" i="4" s="1"/>
  <c r="D300" i="4"/>
  <c r="E300" i="4"/>
  <c r="F300" i="4" s="1"/>
  <c r="D299" i="4"/>
  <c r="E299" i="4"/>
  <c r="F299" i="4" s="1"/>
  <c r="D298" i="4"/>
  <c r="E298" i="4"/>
  <c r="F298" i="4" s="1"/>
  <c r="D297" i="4"/>
  <c r="E297" i="4"/>
  <c r="F297" i="4" s="1"/>
  <c r="D296" i="4"/>
  <c r="E296" i="4"/>
  <c r="F296" i="4" s="1"/>
  <c r="G296" i="4" s="1"/>
  <c r="D295" i="4"/>
  <c r="E295" i="4"/>
  <c r="F295" i="4" s="1"/>
  <c r="D294" i="4"/>
  <c r="E294" i="4"/>
  <c r="F294" i="4" s="1"/>
  <c r="G294" i="4" s="1"/>
  <c r="D293" i="4"/>
  <c r="E293" i="4"/>
  <c r="F293" i="4" s="1"/>
  <c r="D292" i="4"/>
  <c r="E292" i="4"/>
  <c r="F292" i="4" s="1"/>
  <c r="D291" i="4"/>
  <c r="E291" i="4"/>
  <c r="F291" i="4" s="1"/>
  <c r="D290" i="4"/>
  <c r="E290" i="4"/>
  <c r="F290" i="4" s="1"/>
  <c r="D289" i="4"/>
  <c r="E289" i="4"/>
  <c r="F289" i="4" s="1"/>
  <c r="D288" i="4"/>
  <c r="E288" i="4"/>
  <c r="F288" i="4" s="1"/>
  <c r="D287" i="4"/>
  <c r="E287" i="4"/>
  <c r="F287" i="4" s="1"/>
  <c r="D286" i="4"/>
  <c r="E286" i="4"/>
  <c r="F286" i="4" s="1"/>
  <c r="D285" i="4"/>
  <c r="E285" i="4"/>
  <c r="F285" i="4" s="1"/>
  <c r="D284" i="4"/>
  <c r="E284" i="4"/>
  <c r="F284" i="4" s="1"/>
  <c r="D283" i="4"/>
  <c r="E283" i="4"/>
  <c r="F283" i="4" s="1"/>
  <c r="D282" i="4"/>
  <c r="E282" i="4"/>
  <c r="F282" i="4" s="1"/>
  <c r="D281" i="4"/>
  <c r="E281" i="4"/>
  <c r="F281" i="4" s="1"/>
  <c r="D280" i="4"/>
  <c r="E280" i="4"/>
  <c r="F280" i="4" s="1"/>
  <c r="D279" i="4"/>
  <c r="E279" i="4"/>
  <c r="F279" i="4" s="1"/>
  <c r="D278" i="4"/>
  <c r="E278" i="4"/>
  <c r="F278" i="4" s="1"/>
  <c r="D277" i="4"/>
  <c r="E277" i="4"/>
  <c r="F277" i="4" s="1"/>
  <c r="D276" i="4"/>
  <c r="E276" i="4"/>
  <c r="F276" i="4" s="1"/>
  <c r="D275" i="4"/>
  <c r="E275" i="4"/>
  <c r="F275" i="4" s="1"/>
  <c r="D274" i="4"/>
  <c r="E274" i="4"/>
  <c r="F274" i="4" s="1"/>
  <c r="D273" i="4"/>
  <c r="E273" i="4"/>
  <c r="F273" i="4" s="1"/>
  <c r="D272" i="4"/>
  <c r="E272" i="4"/>
  <c r="F272" i="4" s="1"/>
  <c r="D271" i="4"/>
  <c r="E271" i="4"/>
  <c r="F271" i="4" s="1"/>
  <c r="D270" i="4"/>
  <c r="E270" i="4"/>
  <c r="F270" i="4" s="1"/>
  <c r="D269" i="4"/>
  <c r="E269" i="4"/>
  <c r="F269" i="4" s="1"/>
  <c r="D268" i="4"/>
  <c r="E268" i="4"/>
  <c r="F268" i="4" s="1"/>
  <c r="D267" i="4"/>
  <c r="E267" i="4"/>
  <c r="F267" i="4" s="1"/>
  <c r="G267" i="4" s="1"/>
  <c r="D266" i="4"/>
  <c r="E266" i="4"/>
  <c r="F266" i="4" s="1"/>
  <c r="D265" i="4"/>
  <c r="E265" i="4"/>
  <c r="F265" i="4" s="1"/>
  <c r="D264" i="4"/>
  <c r="E264" i="4"/>
  <c r="F264" i="4" s="1"/>
  <c r="D263" i="4"/>
  <c r="E263" i="4"/>
  <c r="F263" i="4" s="1"/>
  <c r="D262" i="4"/>
  <c r="E262" i="4"/>
  <c r="F262" i="4" s="1"/>
  <c r="D261" i="4"/>
  <c r="E261" i="4"/>
  <c r="F261" i="4" s="1"/>
  <c r="G261" i="4" s="1"/>
  <c r="D260" i="4"/>
  <c r="E260" i="4"/>
  <c r="F260" i="4" s="1"/>
  <c r="D259" i="4"/>
  <c r="E259" i="4"/>
  <c r="F259" i="4" s="1"/>
  <c r="D258" i="4"/>
  <c r="E258" i="4"/>
  <c r="F258" i="4" s="1"/>
  <c r="D257" i="4"/>
  <c r="E257" i="4"/>
  <c r="F257" i="4" s="1"/>
  <c r="D256" i="4"/>
  <c r="E256" i="4"/>
  <c r="F256" i="4" s="1"/>
  <c r="D255" i="4"/>
  <c r="E255" i="4"/>
  <c r="F255" i="4" s="1"/>
  <c r="D254" i="4"/>
  <c r="E254" i="4"/>
  <c r="F254" i="4" s="1"/>
  <c r="D253" i="4"/>
  <c r="E253" i="4"/>
  <c r="F253" i="4" s="1"/>
  <c r="D252" i="4"/>
  <c r="E252" i="4"/>
  <c r="F252" i="4" s="1"/>
  <c r="D251" i="4"/>
  <c r="E251" i="4"/>
  <c r="F251" i="4" s="1"/>
  <c r="D250" i="4"/>
  <c r="E250" i="4"/>
  <c r="F250" i="4" s="1"/>
  <c r="D249" i="4"/>
  <c r="E249" i="4"/>
  <c r="F249" i="4" s="1"/>
  <c r="D248" i="4"/>
  <c r="E248" i="4"/>
  <c r="F248" i="4" s="1"/>
  <c r="D247" i="4"/>
  <c r="E247" i="4"/>
  <c r="F247" i="4" s="1"/>
  <c r="D246" i="4"/>
  <c r="E246" i="4"/>
  <c r="F246" i="4" s="1"/>
  <c r="D245" i="4"/>
  <c r="E245" i="4"/>
  <c r="F245" i="4" s="1"/>
  <c r="D244" i="4"/>
  <c r="E244" i="4"/>
  <c r="F244" i="4" s="1"/>
  <c r="D243" i="4"/>
  <c r="E243" i="4"/>
  <c r="F243" i="4" s="1"/>
  <c r="D242" i="4"/>
  <c r="E242" i="4"/>
  <c r="F242" i="4" s="1"/>
  <c r="D241" i="4"/>
  <c r="E241" i="4"/>
  <c r="F241" i="4" s="1"/>
  <c r="D240" i="4"/>
  <c r="E240" i="4"/>
  <c r="F240" i="4" s="1"/>
  <c r="D239" i="4"/>
  <c r="E239" i="4"/>
  <c r="F239" i="4" s="1"/>
  <c r="G239" i="4" s="1"/>
  <c r="D238" i="4"/>
  <c r="E238" i="4"/>
  <c r="F238" i="4" s="1"/>
  <c r="D237" i="4"/>
  <c r="E237" i="4"/>
  <c r="F237" i="4" s="1"/>
  <c r="D236" i="4"/>
  <c r="E236" i="4"/>
  <c r="F236" i="4" s="1"/>
  <c r="D235" i="4"/>
  <c r="E235" i="4"/>
  <c r="F235" i="4" s="1"/>
  <c r="G235" i="4" s="1"/>
  <c r="D234" i="4"/>
  <c r="E234" i="4"/>
  <c r="F234" i="4" s="1"/>
  <c r="D233" i="4"/>
  <c r="E233" i="4"/>
  <c r="F233" i="4" s="1"/>
  <c r="D232" i="4"/>
  <c r="E232" i="4"/>
  <c r="F232" i="4" s="1"/>
  <c r="D231" i="4"/>
  <c r="E231" i="4"/>
  <c r="F231" i="4" s="1"/>
  <c r="D230" i="4"/>
  <c r="E230" i="4"/>
  <c r="F230" i="4" s="1"/>
  <c r="D229" i="4"/>
  <c r="E229" i="4"/>
  <c r="F229" i="4" s="1"/>
  <c r="D228" i="4"/>
  <c r="E228" i="4"/>
  <c r="F228" i="4" s="1"/>
  <c r="D227" i="4"/>
  <c r="E227" i="4"/>
  <c r="F227" i="4" s="1"/>
  <c r="G227" i="4" s="1"/>
  <c r="D226" i="4"/>
  <c r="E226" i="4"/>
  <c r="F226" i="4" s="1"/>
  <c r="D225" i="4"/>
  <c r="E225" i="4"/>
  <c r="F225" i="4" s="1"/>
  <c r="D224" i="4"/>
  <c r="E224" i="4"/>
  <c r="F224" i="4" s="1"/>
  <c r="D223" i="4"/>
  <c r="E223" i="4"/>
  <c r="F223" i="4" s="1"/>
  <c r="D222" i="4"/>
  <c r="E222" i="4"/>
  <c r="F222" i="4" s="1"/>
  <c r="D221" i="4"/>
  <c r="E221" i="4"/>
  <c r="F221" i="4" s="1"/>
  <c r="D220" i="4"/>
  <c r="E220" i="4"/>
  <c r="F220" i="4" s="1"/>
  <c r="D219" i="4"/>
  <c r="E219" i="4"/>
  <c r="F219" i="4" s="1"/>
  <c r="D218" i="4"/>
  <c r="E218" i="4"/>
  <c r="F218" i="4" s="1"/>
  <c r="D217" i="4"/>
  <c r="E217" i="4"/>
  <c r="F217" i="4" s="1"/>
  <c r="D216" i="4"/>
  <c r="E216" i="4"/>
  <c r="F216" i="4" s="1"/>
  <c r="D215" i="4"/>
  <c r="E215" i="4"/>
  <c r="F215" i="4" s="1"/>
  <c r="D214" i="4"/>
  <c r="E214" i="4"/>
  <c r="F214" i="4" s="1"/>
  <c r="D213" i="4"/>
  <c r="E213" i="4"/>
  <c r="F213" i="4" s="1"/>
  <c r="G213" i="4" s="1"/>
  <c r="D212" i="4"/>
  <c r="E212" i="4"/>
  <c r="F212" i="4" s="1"/>
  <c r="D211" i="4"/>
  <c r="E211" i="4"/>
  <c r="F211" i="4" s="1"/>
  <c r="D210" i="4"/>
  <c r="E210" i="4"/>
  <c r="F210" i="4" s="1"/>
  <c r="D209" i="4"/>
  <c r="E209" i="4"/>
  <c r="F209" i="4" s="1"/>
  <c r="D208" i="4"/>
  <c r="E208" i="4"/>
  <c r="F208" i="4" s="1"/>
  <c r="D207" i="4"/>
  <c r="E207" i="4"/>
  <c r="F207" i="4" s="1"/>
  <c r="D206" i="4"/>
  <c r="E206" i="4"/>
  <c r="F206" i="4" s="1"/>
  <c r="D205" i="4"/>
  <c r="E205" i="4"/>
  <c r="F205" i="4" s="1"/>
  <c r="D204" i="4"/>
  <c r="E204" i="4"/>
  <c r="F204" i="4" s="1"/>
  <c r="D203" i="4"/>
  <c r="E203" i="4"/>
  <c r="F203" i="4" s="1"/>
  <c r="D202" i="4"/>
  <c r="E202" i="4"/>
  <c r="F202" i="4" s="1"/>
  <c r="D201" i="4"/>
  <c r="E201" i="4"/>
  <c r="F201" i="4" s="1"/>
  <c r="D200" i="4"/>
  <c r="E200" i="4"/>
  <c r="F200" i="4" s="1"/>
  <c r="D199" i="4"/>
  <c r="E199" i="4"/>
  <c r="F199" i="4" s="1"/>
  <c r="D198" i="4"/>
  <c r="E198" i="4"/>
  <c r="F198" i="4" s="1"/>
  <c r="D197" i="4"/>
  <c r="E197" i="4"/>
  <c r="F197" i="4" s="1"/>
  <c r="D196" i="4"/>
  <c r="E196" i="4"/>
  <c r="F196" i="4" s="1"/>
  <c r="D195" i="4"/>
  <c r="E195" i="4"/>
  <c r="F195" i="4" s="1"/>
  <c r="D194" i="4"/>
  <c r="E194" i="4"/>
  <c r="F194" i="4" s="1"/>
  <c r="D193" i="4"/>
  <c r="E193" i="4"/>
  <c r="F193" i="4" s="1"/>
  <c r="G193" i="4" s="1"/>
  <c r="D192" i="4"/>
  <c r="E192" i="4"/>
  <c r="F192" i="4" s="1"/>
  <c r="D191" i="4"/>
  <c r="E191" i="4"/>
  <c r="F191" i="4" s="1"/>
  <c r="D190" i="4"/>
  <c r="E190" i="4"/>
  <c r="F190" i="4" s="1"/>
  <c r="D189" i="4"/>
  <c r="E189" i="4"/>
  <c r="F189" i="4" s="1"/>
  <c r="D188" i="4"/>
  <c r="E188" i="4"/>
  <c r="F188" i="4" s="1"/>
  <c r="D187" i="4"/>
  <c r="E187" i="4"/>
  <c r="F187" i="4" s="1"/>
  <c r="D186" i="4"/>
  <c r="E186" i="4"/>
  <c r="F186" i="4" s="1"/>
  <c r="G186" i="4" s="1"/>
  <c r="D185" i="4"/>
  <c r="E185" i="4"/>
  <c r="F185" i="4" s="1"/>
  <c r="D184" i="4"/>
  <c r="E184" i="4"/>
  <c r="F184" i="4" s="1"/>
  <c r="D183" i="4"/>
  <c r="E183" i="4"/>
  <c r="F183" i="4" s="1"/>
  <c r="D182" i="4"/>
  <c r="E182" i="4"/>
  <c r="F182" i="4" s="1"/>
  <c r="D181" i="4"/>
  <c r="E181" i="4"/>
  <c r="F181" i="4" s="1"/>
  <c r="D180" i="4"/>
  <c r="E180" i="4"/>
  <c r="F180" i="4" s="1"/>
  <c r="D179" i="4"/>
  <c r="E179" i="4"/>
  <c r="F179" i="4" s="1"/>
  <c r="D178" i="4"/>
  <c r="E178" i="4"/>
  <c r="F178" i="4" s="1"/>
  <c r="D177" i="4"/>
  <c r="E177" i="4"/>
  <c r="F177" i="4" s="1"/>
  <c r="D176" i="4"/>
  <c r="E176" i="4"/>
  <c r="F176" i="4" s="1"/>
  <c r="D175" i="4"/>
  <c r="E175" i="4"/>
  <c r="F175" i="4" s="1"/>
  <c r="D174" i="4"/>
  <c r="E174" i="4"/>
  <c r="F174" i="4" s="1"/>
  <c r="D173" i="4"/>
  <c r="E173" i="4"/>
  <c r="F173" i="4" s="1"/>
  <c r="D172" i="4"/>
  <c r="E172" i="4"/>
  <c r="F172" i="4" s="1"/>
  <c r="D171" i="4"/>
  <c r="E171" i="4"/>
  <c r="F171" i="4" s="1"/>
  <c r="D170" i="4"/>
  <c r="E170" i="4"/>
  <c r="F170" i="4" s="1"/>
  <c r="D169" i="4"/>
  <c r="E169" i="4"/>
  <c r="F169" i="4" s="1"/>
  <c r="D168" i="4"/>
  <c r="E168" i="4"/>
  <c r="F168" i="4" s="1"/>
  <c r="D167" i="4"/>
  <c r="E167" i="4"/>
  <c r="F167" i="4" s="1"/>
  <c r="D166" i="4"/>
  <c r="E166" i="4"/>
  <c r="F166" i="4" s="1"/>
  <c r="D165" i="4"/>
  <c r="E165" i="4"/>
  <c r="F165" i="4" s="1"/>
  <c r="D164" i="4"/>
  <c r="E164" i="4"/>
  <c r="F164" i="4" s="1"/>
  <c r="G164" i="4" s="1"/>
  <c r="D163" i="4"/>
  <c r="E163" i="4"/>
  <c r="F163" i="4" s="1"/>
  <c r="D162" i="4"/>
  <c r="E162" i="4"/>
  <c r="F162" i="4" s="1"/>
  <c r="D161" i="4"/>
  <c r="E161" i="4"/>
  <c r="F161" i="4" s="1"/>
  <c r="D160" i="4"/>
  <c r="E160" i="4"/>
  <c r="F160" i="4" s="1"/>
  <c r="D159" i="4"/>
  <c r="E159" i="4"/>
  <c r="F159" i="4" s="1"/>
  <c r="D158" i="4"/>
  <c r="E158" i="4"/>
  <c r="F158" i="4" s="1"/>
  <c r="D157" i="4"/>
  <c r="E157" i="4"/>
  <c r="F157" i="4" s="1"/>
  <c r="D156" i="4"/>
  <c r="E156" i="4"/>
  <c r="F156" i="4" s="1"/>
  <c r="D155" i="4"/>
  <c r="E155" i="4"/>
  <c r="F155" i="4" s="1"/>
  <c r="D154" i="4"/>
  <c r="E154" i="4"/>
  <c r="F154" i="4" s="1"/>
  <c r="D153" i="4"/>
  <c r="E153" i="4"/>
  <c r="F153" i="4" s="1"/>
  <c r="D152" i="4"/>
  <c r="E152" i="4"/>
  <c r="F152" i="4" s="1"/>
  <c r="D151" i="4"/>
  <c r="E151" i="4"/>
  <c r="F151" i="4" s="1"/>
  <c r="D150" i="4"/>
  <c r="E150" i="4"/>
  <c r="F150" i="4" s="1"/>
  <c r="D149" i="4"/>
  <c r="E149" i="4"/>
  <c r="F149" i="4" s="1"/>
  <c r="D148" i="4"/>
  <c r="E148" i="4"/>
  <c r="F148" i="4" s="1"/>
  <c r="D147" i="4"/>
  <c r="E147" i="4"/>
  <c r="F147" i="4" s="1"/>
  <c r="D146" i="4"/>
  <c r="E146" i="4"/>
  <c r="F146" i="4" s="1"/>
  <c r="D145" i="4"/>
  <c r="E145" i="4"/>
  <c r="F145" i="4" s="1"/>
  <c r="D144" i="4"/>
  <c r="E144" i="4"/>
  <c r="F144" i="4" s="1"/>
  <c r="D143" i="4"/>
  <c r="E143" i="4"/>
  <c r="F143" i="4" s="1"/>
  <c r="D142" i="4"/>
  <c r="E142" i="4"/>
  <c r="F142" i="4" s="1"/>
  <c r="G142" i="4" s="1"/>
  <c r="D141" i="4"/>
  <c r="E141" i="4"/>
  <c r="F141" i="4" s="1"/>
  <c r="D140" i="4"/>
  <c r="E140" i="4"/>
  <c r="F140" i="4" s="1"/>
  <c r="D139" i="4"/>
  <c r="E139" i="4"/>
  <c r="F139" i="4" s="1"/>
  <c r="D138" i="4"/>
  <c r="E138" i="4"/>
  <c r="F138" i="4" s="1"/>
  <c r="D137" i="4"/>
  <c r="E137" i="4"/>
  <c r="F137" i="4" s="1"/>
  <c r="D136" i="4"/>
  <c r="E136" i="4"/>
  <c r="F136" i="4" s="1"/>
  <c r="D135" i="4"/>
  <c r="E135" i="4"/>
  <c r="F135" i="4" s="1"/>
  <c r="D134" i="4"/>
  <c r="E134" i="4"/>
  <c r="F134" i="4" s="1"/>
  <c r="D133" i="4"/>
  <c r="E133" i="4"/>
  <c r="F133" i="4" s="1"/>
  <c r="G133" i="4" s="1"/>
  <c r="D132" i="4"/>
  <c r="E132" i="4"/>
  <c r="F132" i="4" s="1"/>
  <c r="D131" i="4"/>
  <c r="E131" i="4"/>
  <c r="F131" i="4" s="1"/>
  <c r="D130" i="4"/>
  <c r="E130" i="4"/>
  <c r="F130" i="4" s="1"/>
  <c r="D129" i="4"/>
  <c r="E129" i="4"/>
  <c r="F129" i="4" s="1"/>
  <c r="D128" i="4"/>
  <c r="E128" i="4"/>
  <c r="F128" i="4" s="1"/>
  <c r="D127" i="4"/>
  <c r="E127" i="4"/>
  <c r="F127" i="4" s="1"/>
  <c r="D126" i="4"/>
  <c r="E126" i="4"/>
  <c r="F126" i="4" s="1"/>
  <c r="D125" i="4"/>
  <c r="E125" i="4"/>
  <c r="F125" i="4" s="1"/>
  <c r="D124" i="4"/>
  <c r="E124" i="4"/>
  <c r="F124" i="4" s="1"/>
  <c r="D123" i="4"/>
  <c r="E123" i="4"/>
  <c r="F123" i="4" s="1"/>
  <c r="D122" i="4"/>
  <c r="E122" i="4"/>
  <c r="F122" i="4" s="1"/>
  <c r="D121" i="4"/>
  <c r="E121" i="4"/>
  <c r="F121" i="4" s="1"/>
  <c r="D120" i="4"/>
  <c r="E120" i="4"/>
  <c r="F120" i="4" s="1"/>
  <c r="D119" i="4"/>
  <c r="E119" i="4"/>
  <c r="F119" i="4" s="1"/>
  <c r="D118" i="4"/>
  <c r="E118" i="4"/>
  <c r="F118" i="4" s="1"/>
  <c r="D117" i="4"/>
  <c r="E117" i="4"/>
  <c r="F117" i="4" s="1"/>
  <c r="D116" i="4"/>
  <c r="E116" i="4"/>
  <c r="F116" i="4" s="1"/>
  <c r="D115" i="4"/>
  <c r="E115" i="4"/>
  <c r="F115" i="4" s="1"/>
  <c r="D114" i="4"/>
  <c r="E114" i="4"/>
  <c r="F114" i="4" s="1"/>
  <c r="D113" i="4"/>
  <c r="E113" i="4"/>
  <c r="F113" i="4" s="1"/>
  <c r="D112" i="4"/>
  <c r="E112" i="4"/>
  <c r="F112" i="4" s="1"/>
  <c r="G112" i="4" s="1"/>
  <c r="D111" i="4"/>
  <c r="E111" i="4"/>
  <c r="F111" i="4" s="1"/>
  <c r="D110" i="4"/>
  <c r="E110" i="4"/>
  <c r="F110" i="4" s="1"/>
  <c r="D109" i="4"/>
  <c r="E109" i="4"/>
  <c r="F109" i="4" s="1"/>
  <c r="D108" i="4"/>
  <c r="E108" i="4"/>
  <c r="F108" i="4" s="1"/>
  <c r="D107" i="4"/>
  <c r="E107" i="4"/>
  <c r="F107" i="4" s="1"/>
  <c r="G107" i="4" s="1"/>
  <c r="D106" i="4"/>
  <c r="E106" i="4"/>
  <c r="F106" i="4" s="1"/>
  <c r="G106" i="4" s="1"/>
  <c r="D105" i="4"/>
  <c r="E105" i="4"/>
  <c r="F105" i="4" s="1"/>
  <c r="D104" i="4"/>
  <c r="E104" i="4"/>
  <c r="F104" i="4" s="1"/>
  <c r="G104" i="4" s="1"/>
  <c r="D103" i="4"/>
  <c r="E103" i="4"/>
  <c r="F103" i="4" s="1"/>
  <c r="D102" i="4"/>
  <c r="E102" i="4"/>
  <c r="F102" i="4" s="1"/>
  <c r="D101" i="4"/>
  <c r="E101" i="4"/>
  <c r="F101" i="4" s="1"/>
  <c r="D100" i="4"/>
  <c r="E100" i="4"/>
  <c r="F100" i="4" s="1"/>
  <c r="D99" i="4"/>
  <c r="E99" i="4"/>
  <c r="F99" i="4" s="1"/>
  <c r="D98" i="4"/>
  <c r="E98" i="4"/>
  <c r="F98" i="4" s="1"/>
  <c r="D97" i="4"/>
  <c r="E97" i="4"/>
  <c r="F97" i="4" s="1"/>
  <c r="D96" i="4"/>
  <c r="E96" i="4"/>
  <c r="F96" i="4" s="1"/>
  <c r="D95" i="4"/>
  <c r="E95" i="4"/>
  <c r="F95" i="4" s="1"/>
  <c r="D94" i="4"/>
  <c r="E94" i="4"/>
  <c r="F94" i="4" s="1"/>
  <c r="D93" i="4"/>
  <c r="E93" i="4"/>
  <c r="F93" i="4" s="1"/>
  <c r="D92" i="4"/>
  <c r="E92" i="4"/>
  <c r="F92" i="4" s="1"/>
  <c r="D91" i="4"/>
  <c r="E91" i="4"/>
  <c r="F91" i="4" s="1"/>
  <c r="D90" i="4"/>
  <c r="E90" i="4"/>
  <c r="F90" i="4" s="1"/>
  <c r="G90" i="4" s="1"/>
  <c r="D89" i="4"/>
  <c r="E89" i="4"/>
  <c r="F89" i="4" s="1"/>
  <c r="D88" i="4"/>
  <c r="E88" i="4"/>
  <c r="F88" i="4" s="1"/>
  <c r="D87" i="4"/>
  <c r="E87" i="4"/>
  <c r="F87" i="4" s="1"/>
  <c r="D86" i="4"/>
  <c r="E86" i="4"/>
  <c r="F86" i="4" s="1"/>
  <c r="D85" i="4"/>
  <c r="E85" i="4"/>
  <c r="F85" i="4" s="1"/>
  <c r="D84" i="4"/>
  <c r="E84" i="4"/>
  <c r="F84" i="4" s="1"/>
  <c r="D83" i="4"/>
  <c r="E83" i="4"/>
  <c r="F83" i="4" s="1"/>
  <c r="D82" i="4"/>
  <c r="E82" i="4"/>
  <c r="F82" i="4" s="1"/>
  <c r="D81" i="4"/>
  <c r="E81" i="4"/>
  <c r="F81" i="4" s="1"/>
  <c r="D80" i="4"/>
  <c r="E80" i="4"/>
  <c r="F80" i="4" s="1"/>
  <c r="D79" i="4"/>
  <c r="E79" i="4"/>
  <c r="F79" i="4" s="1"/>
  <c r="G79" i="4" s="1"/>
  <c r="D78" i="4"/>
  <c r="E78" i="4"/>
  <c r="F78" i="4" s="1"/>
  <c r="D77" i="4"/>
  <c r="E77" i="4"/>
  <c r="F77" i="4" s="1"/>
  <c r="D76" i="4"/>
  <c r="E76" i="4"/>
  <c r="F76" i="4" s="1"/>
  <c r="G76" i="4" s="1"/>
  <c r="D75" i="4"/>
  <c r="E75" i="4"/>
  <c r="F75" i="4" s="1"/>
  <c r="G75" i="4" s="1"/>
  <c r="D74" i="4"/>
  <c r="E74" i="4"/>
  <c r="F74" i="4" s="1"/>
  <c r="D73" i="4"/>
  <c r="E73" i="4"/>
  <c r="F73" i="4" s="1"/>
  <c r="D72" i="4"/>
  <c r="E72" i="4"/>
  <c r="F72" i="4" s="1"/>
  <c r="D71" i="4"/>
  <c r="E71" i="4"/>
  <c r="F71" i="4" s="1"/>
  <c r="D70" i="4"/>
  <c r="E70" i="4"/>
  <c r="F70" i="4" s="1"/>
  <c r="D69" i="4"/>
  <c r="E69" i="4"/>
  <c r="F69" i="4" s="1"/>
  <c r="D68" i="4"/>
  <c r="E68" i="4"/>
  <c r="F68" i="4" s="1"/>
  <c r="D67" i="4"/>
  <c r="E67" i="4"/>
  <c r="F67" i="4" s="1"/>
  <c r="D66" i="4"/>
  <c r="E66" i="4"/>
  <c r="F66" i="4" s="1"/>
  <c r="G66" i="4" s="1"/>
  <c r="D65" i="4"/>
  <c r="E65" i="4"/>
  <c r="F65" i="4" s="1"/>
  <c r="G65" i="4" s="1"/>
  <c r="D64" i="4"/>
  <c r="E64" i="4"/>
  <c r="F64" i="4" s="1"/>
  <c r="D63" i="4"/>
  <c r="E63" i="4"/>
  <c r="F63" i="4" s="1"/>
  <c r="D62" i="4"/>
  <c r="E62" i="4"/>
  <c r="F62" i="4" s="1"/>
  <c r="D61" i="4"/>
  <c r="E61" i="4"/>
  <c r="F61" i="4" s="1"/>
  <c r="D60" i="4"/>
  <c r="E60" i="4"/>
  <c r="F60" i="4" s="1"/>
  <c r="D59" i="4"/>
  <c r="E59" i="4"/>
  <c r="F59" i="4" s="1"/>
  <c r="D58" i="4"/>
  <c r="E58" i="4"/>
  <c r="F58" i="4" s="1"/>
  <c r="D57" i="4"/>
  <c r="E57" i="4"/>
  <c r="F57" i="4" s="1"/>
  <c r="D56" i="4"/>
  <c r="E56" i="4"/>
  <c r="F56" i="4" s="1"/>
  <c r="G56" i="4" s="1"/>
  <c r="D55" i="4"/>
  <c r="E55" i="4"/>
  <c r="F55" i="4" s="1"/>
  <c r="D54" i="4"/>
  <c r="E54" i="4"/>
  <c r="F54" i="4" s="1"/>
  <c r="D53" i="4"/>
  <c r="E53" i="4"/>
  <c r="F53" i="4" s="1"/>
  <c r="D52" i="4"/>
  <c r="E52" i="4"/>
  <c r="F52" i="4" s="1"/>
  <c r="D51" i="4"/>
  <c r="E51" i="4"/>
  <c r="F51" i="4" s="1"/>
  <c r="D50" i="4"/>
  <c r="E50" i="4"/>
  <c r="F50" i="4" s="1"/>
  <c r="D49" i="4"/>
  <c r="E49" i="4"/>
  <c r="F49" i="4" s="1"/>
  <c r="D48" i="4"/>
  <c r="E48" i="4"/>
  <c r="F48" i="4" s="1"/>
  <c r="D47" i="4"/>
  <c r="E47" i="4"/>
  <c r="F47" i="4" s="1"/>
  <c r="D46" i="4"/>
  <c r="E46" i="4"/>
  <c r="F46" i="4" s="1"/>
  <c r="D45" i="4"/>
  <c r="E45" i="4"/>
  <c r="F45" i="4" s="1"/>
  <c r="D44" i="4"/>
  <c r="E44" i="4"/>
  <c r="F44" i="4" s="1"/>
  <c r="D43" i="4"/>
  <c r="E43" i="4"/>
  <c r="F43" i="4" s="1"/>
  <c r="D42" i="4"/>
  <c r="E42" i="4"/>
  <c r="F42" i="4" s="1"/>
  <c r="D41" i="4"/>
  <c r="E41" i="4"/>
  <c r="F41" i="4" s="1"/>
  <c r="G41" i="4" s="1"/>
  <c r="D40" i="4"/>
  <c r="E40" i="4"/>
  <c r="F40" i="4" s="1"/>
  <c r="G40" i="4" s="1"/>
  <c r="D39" i="4"/>
  <c r="E39" i="4"/>
  <c r="F39" i="4" s="1"/>
  <c r="D38" i="4"/>
  <c r="E38" i="4"/>
  <c r="F38" i="4" s="1"/>
  <c r="D37" i="4"/>
  <c r="E37" i="4"/>
  <c r="F37" i="4" s="1"/>
  <c r="D36" i="4"/>
  <c r="E36" i="4"/>
  <c r="F36" i="4" s="1"/>
  <c r="D35" i="4"/>
  <c r="E35" i="4"/>
  <c r="F35" i="4" s="1"/>
  <c r="G35" i="4" s="1"/>
  <c r="D34" i="4"/>
  <c r="E34" i="4"/>
  <c r="F34" i="4" s="1"/>
  <c r="D33" i="4"/>
  <c r="E33" i="4"/>
  <c r="F33" i="4" s="1"/>
  <c r="D32" i="4"/>
  <c r="E32" i="4"/>
  <c r="F32" i="4" s="1"/>
  <c r="G32" i="4" s="1"/>
  <c r="D31" i="4"/>
  <c r="E31" i="4"/>
  <c r="F31" i="4" s="1"/>
  <c r="D30" i="4"/>
  <c r="E30" i="4"/>
  <c r="F30" i="4" s="1"/>
  <c r="D29" i="4"/>
  <c r="E29" i="4"/>
  <c r="F29" i="4" s="1"/>
  <c r="D28" i="4"/>
  <c r="E28" i="4"/>
  <c r="F28" i="4" s="1"/>
  <c r="D27" i="4"/>
  <c r="E27" i="4"/>
  <c r="F27" i="4" s="1"/>
  <c r="D26" i="4"/>
  <c r="E26" i="4"/>
  <c r="F26" i="4" s="1"/>
  <c r="G26" i="4" s="1"/>
  <c r="D25" i="4"/>
  <c r="E25" i="4"/>
  <c r="F25" i="4" s="1"/>
  <c r="D24" i="4"/>
  <c r="E24" i="4"/>
  <c r="F24" i="4" s="1"/>
  <c r="G24" i="4" s="1"/>
  <c r="D23" i="4"/>
  <c r="E23" i="4"/>
  <c r="F23" i="4" s="1"/>
  <c r="D22" i="4"/>
  <c r="E22" i="4"/>
  <c r="F22" i="4" s="1"/>
  <c r="D21" i="4"/>
  <c r="E21" i="4"/>
  <c r="F21" i="4" s="1"/>
  <c r="D20" i="4"/>
  <c r="E20" i="4"/>
  <c r="F20" i="4" s="1"/>
  <c r="G20" i="4" s="1"/>
  <c r="D19" i="4"/>
  <c r="E19" i="4"/>
  <c r="F19" i="4" s="1"/>
  <c r="D18" i="4"/>
  <c r="E18" i="4"/>
  <c r="F18" i="4" s="1"/>
  <c r="D17" i="4"/>
  <c r="E17" i="4"/>
  <c r="F17" i="4" s="1"/>
  <c r="D16" i="4"/>
  <c r="E16" i="4"/>
  <c r="F16" i="4" s="1"/>
  <c r="D15" i="4"/>
  <c r="E15" i="4"/>
  <c r="F15" i="4" s="1"/>
  <c r="D14" i="4"/>
  <c r="E14" i="4"/>
  <c r="F14" i="4" s="1"/>
  <c r="D13" i="4"/>
  <c r="E13" i="4"/>
  <c r="F13" i="4" s="1"/>
  <c r="D12" i="4"/>
  <c r="E12" i="4"/>
  <c r="F12" i="4" s="1"/>
  <c r="D11" i="4"/>
  <c r="E11" i="4"/>
  <c r="F11" i="4" s="1"/>
  <c r="D10" i="4"/>
  <c r="E10" i="4"/>
  <c r="F10" i="4" s="1"/>
  <c r="D9" i="4"/>
  <c r="E9" i="4"/>
  <c r="F9" i="4" s="1"/>
  <c r="D8" i="4"/>
  <c r="E8" i="4"/>
  <c r="F8" i="4" s="1"/>
  <c r="D7" i="4"/>
  <c r="E7" i="4"/>
  <c r="F7" i="4" s="1"/>
  <c r="D6" i="4"/>
  <c r="E6" i="4"/>
  <c r="F6" i="4" s="1"/>
  <c r="D5" i="4"/>
  <c r="E5" i="4"/>
  <c r="F5" i="4" s="1"/>
  <c r="D4" i="4"/>
  <c r="E4" i="4"/>
  <c r="F4" i="4" s="1"/>
  <c r="D3" i="4"/>
  <c r="E3" i="4"/>
  <c r="F3" i="4" s="1"/>
  <c r="G3" i="4" s="1"/>
  <c r="D2" i="4"/>
  <c r="E2" i="4"/>
  <c r="F2" i="4" s="1"/>
  <c r="G2" i="4" s="1"/>
  <c r="B5" i="5"/>
  <c r="I557" i="4" l="1" a="1"/>
  <c r="I557" i="4" s="1"/>
  <c r="G557" i="4"/>
  <c r="H557" i="4"/>
  <c r="I556" i="4" a="1"/>
  <c r="I556" i="4" s="1"/>
  <c r="G556" i="4"/>
  <c r="H556" i="4"/>
  <c r="I555" i="4" a="1"/>
  <c r="I555" i="4" s="1"/>
  <c r="G555" i="4"/>
  <c r="H555" i="4"/>
  <c r="G554" i="4"/>
  <c r="H554" i="4"/>
  <c r="I554" i="4" a="1"/>
  <c r="I554" i="4" s="1"/>
  <c r="I553" i="4" a="1"/>
  <c r="I553" i="4" s="1"/>
  <c r="G553" i="4"/>
  <c r="H553" i="4"/>
  <c r="I552" i="4" a="1"/>
  <c r="I552" i="4" s="1"/>
  <c r="G552" i="4"/>
  <c r="H552" i="4"/>
  <c r="I551" i="4" a="1"/>
  <c r="I551" i="4" s="1"/>
  <c r="G551" i="4"/>
  <c r="H551" i="4"/>
  <c r="I550" i="4" a="1"/>
  <c r="I550" i="4" s="1"/>
  <c r="H550" i="4"/>
  <c r="I549" i="4" a="1"/>
  <c r="I549" i="4" s="1"/>
  <c r="G549" i="4"/>
  <c r="H549" i="4"/>
  <c r="G548" i="4"/>
  <c r="H548" i="4"/>
  <c r="I548" i="4" a="1"/>
  <c r="I548" i="4" s="1"/>
  <c r="I547" i="4" a="1"/>
  <c r="I547" i="4" s="1"/>
  <c r="G547" i="4"/>
  <c r="H547" i="4"/>
  <c r="I546" i="4" a="1"/>
  <c r="I546" i="4" s="1"/>
  <c r="G546" i="4"/>
  <c r="H546" i="4"/>
  <c r="I545" i="4" a="1"/>
  <c r="I545" i="4" s="1"/>
  <c r="G545" i="4"/>
  <c r="H545" i="4"/>
  <c r="I544" i="4" a="1"/>
  <c r="I544" i="4" s="1"/>
  <c r="G544" i="4"/>
  <c r="H544" i="4"/>
  <c r="G543" i="4"/>
  <c r="H543" i="4"/>
  <c r="I543" i="4" a="1"/>
  <c r="I543" i="4" s="1"/>
  <c r="G542" i="4"/>
  <c r="H542" i="4"/>
  <c r="I542" i="4" a="1"/>
  <c r="I542" i="4" s="1"/>
  <c r="I541" i="4" a="1"/>
  <c r="I541" i="4" s="1"/>
  <c r="G541" i="4"/>
  <c r="H541" i="4"/>
  <c r="G540" i="4"/>
  <c r="H540" i="4"/>
  <c r="I540" i="4" a="1"/>
  <c r="I540" i="4" s="1"/>
  <c r="I539" i="4" a="1"/>
  <c r="I539" i="4" s="1"/>
  <c r="G539" i="4"/>
  <c r="H539" i="4"/>
  <c r="I538" i="4" a="1"/>
  <c r="I538" i="4" s="1"/>
  <c r="G538" i="4"/>
  <c r="H538" i="4"/>
  <c r="I537" i="4" a="1"/>
  <c r="I537" i="4" s="1"/>
  <c r="H537" i="4"/>
  <c r="I536" i="4" a="1"/>
  <c r="I536" i="4" s="1"/>
  <c r="H536" i="4"/>
  <c r="G535" i="4"/>
  <c r="H535" i="4"/>
  <c r="I535" i="4" a="1"/>
  <c r="I535" i="4" s="1"/>
  <c r="I534" i="4" a="1"/>
  <c r="I534" i="4" s="1"/>
  <c r="H534" i="4"/>
  <c r="G533" i="4"/>
  <c r="H533" i="4"/>
  <c r="I533" i="4" a="1"/>
  <c r="I533" i="4" s="1"/>
  <c r="I532" i="4" a="1"/>
  <c r="I532" i="4" s="1"/>
  <c r="G532" i="4"/>
  <c r="H532" i="4"/>
  <c r="I531" i="4" a="1"/>
  <c r="I531" i="4" s="1"/>
  <c r="G531" i="4"/>
  <c r="H531" i="4"/>
  <c r="I530" i="4" a="1"/>
  <c r="I530" i="4" s="1"/>
  <c r="G530" i="4"/>
  <c r="H530" i="4"/>
  <c r="G529" i="4"/>
  <c r="H529" i="4"/>
  <c r="I529" i="4" a="1"/>
  <c r="I529" i="4" s="1"/>
  <c r="G528" i="4"/>
  <c r="H528" i="4"/>
  <c r="I528" i="4" a="1"/>
  <c r="I528" i="4" s="1"/>
  <c r="G527" i="4"/>
  <c r="H527" i="4"/>
  <c r="I527" i="4" a="1"/>
  <c r="I527" i="4" s="1"/>
  <c r="I526" i="4" a="1"/>
  <c r="I526" i="4" s="1"/>
  <c r="G526" i="4"/>
  <c r="H526" i="4"/>
  <c r="G525" i="4"/>
  <c r="H525" i="4" s="1"/>
  <c r="I525" i="4" a="1"/>
  <c r="I525" i="4" s="1"/>
  <c r="I524" i="4" a="1"/>
  <c r="I524" i="4" s="1"/>
  <c r="G524" i="4"/>
  <c r="H524" i="4" s="1"/>
  <c r="G523" i="4"/>
  <c r="H523" i="4"/>
  <c r="I523" i="4" a="1"/>
  <c r="I523" i="4" s="1"/>
  <c r="I522" i="4" a="1"/>
  <c r="I522" i="4" s="1"/>
  <c r="G522" i="4"/>
  <c r="H522" i="4"/>
  <c r="G521" i="4"/>
  <c r="H521" i="4"/>
  <c r="I521" i="4" a="1"/>
  <c r="I521" i="4" s="1"/>
  <c r="I520" i="4" a="1"/>
  <c r="I520" i="4" s="1"/>
  <c r="G520" i="4"/>
  <c r="H520" i="4"/>
  <c r="I519" i="4" a="1"/>
  <c r="I519" i="4" s="1"/>
  <c r="G519" i="4"/>
  <c r="H519" i="4"/>
  <c r="I518" i="4" a="1"/>
  <c r="I518" i="4" s="1"/>
  <c r="G518" i="4"/>
  <c r="H518" i="4"/>
  <c r="I517" i="4" a="1"/>
  <c r="I517" i="4" s="1"/>
  <c r="H517" i="4"/>
  <c r="I516" i="4" a="1"/>
  <c r="I516" i="4" s="1"/>
  <c r="G516" i="4"/>
  <c r="H516" i="4"/>
  <c r="I515" i="4" a="1"/>
  <c r="I515" i="4" s="1"/>
  <c r="G515" i="4"/>
  <c r="H515" i="4"/>
  <c r="I514" i="4" a="1"/>
  <c r="I514" i="4" s="1"/>
  <c r="G514" i="4"/>
  <c r="H514" i="4"/>
  <c r="I513" i="4" a="1"/>
  <c r="I513" i="4" s="1"/>
  <c r="G513" i="4"/>
  <c r="H513" i="4"/>
  <c r="I512" i="4" a="1"/>
  <c r="I512" i="4" s="1"/>
  <c r="G512" i="4"/>
  <c r="H512" i="4"/>
  <c r="G511" i="4"/>
  <c r="H511" i="4"/>
  <c r="I511" i="4" a="1"/>
  <c r="I511" i="4" s="1"/>
  <c r="I510" i="4" a="1"/>
  <c r="I510" i="4" s="1"/>
  <c r="G510" i="4"/>
  <c r="H510" i="4"/>
  <c r="G509" i="4"/>
  <c r="H509" i="4"/>
  <c r="I509" i="4" a="1"/>
  <c r="I509" i="4" s="1"/>
  <c r="G508" i="4"/>
  <c r="H508" i="4"/>
  <c r="I508" i="4" a="1"/>
  <c r="I508" i="4" s="1"/>
  <c r="I507" i="4" a="1"/>
  <c r="I507" i="4" s="1"/>
  <c r="H507" i="4"/>
  <c r="G506" i="4"/>
  <c r="H506" i="4"/>
  <c r="I506" i="4" a="1"/>
  <c r="I506" i="4" s="1"/>
  <c r="G505" i="4"/>
  <c r="H505" i="4"/>
  <c r="I505" i="4" a="1"/>
  <c r="I505" i="4" s="1"/>
  <c r="G504" i="4"/>
  <c r="H504" i="4"/>
  <c r="I504" i="4" a="1"/>
  <c r="I504" i="4" s="1"/>
  <c r="I501" i="4" a="1"/>
  <c r="I501" i="4" s="1"/>
  <c r="G503" i="4"/>
  <c r="H503" i="4"/>
  <c r="I503" i="4" a="1"/>
  <c r="I503" i="4" s="1"/>
  <c r="G502" i="4"/>
  <c r="H502" i="4"/>
  <c r="I502" i="4" a="1"/>
  <c r="I502" i="4" s="1"/>
  <c r="G501" i="4"/>
  <c r="H501" i="4"/>
  <c r="I500" i="4" a="1"/>
  <c r="I500" i="4" s="1"/>
  <c r="G500" i="4"/>
  <c r="H500" i="4"/>
  <c r="G499" i="4"/>
  <c r="H499" i="4"/>
  <c r="I499" i="4" a="1"/>
  <c r="I499" i="4" s="1"/>
  <c r="I498" i="4" a="1"/>
  <c r="I498" i="4" s="1"/>
  <c r="G498" i="4"/>
  <c r="H498" i="4"/>
  <c r="G497" i="4"/>
  <c r="H497" i="4"/>
  <c r="I497" i="4" a="1"/>
  <c r="I497" i="4" s="1"/>
  <c r="G496" i="4"/>
  <c r="H496" i="4"/>
  <c r="I496" i="4" a="1"/>
  <c r="I496" i="4" s="1"/>
  <c r="I495" i="4" a="1"/>
  <c r="I495" i="4" s="1"/>
  <c r="H495" i="4"/>
  <c r="G494" i="4"/>
  <c r="H494" i="4"/>
  <c r="I494" i="4" a="1"/>
  <c r="I494" i="4" s="1"/>
  <c r="G493" i="4"/>
  <c r="H493" i="4"/>
  <c r="I493" i="4" a="1"/>
  <c r="I493" i="4" s="1"/>
  <c r="I492" i="4" a="1"/>
  <c r="I492" i="4" s="1"/>
  <c r="G492" i="4"/>
  <c r="H492" i="4"/>
  <c r="I491" i="4" a="1"/>
  <c r="I491" i="4" s="1"/>
  <c r="G491" i="4"/>
  <c r="H491" i="4"/>
  <c r="G490" i="4"/>
  <c r="H490" i="4"/>
  <c r="I490" i="4" a="1"/>
  <c r="I490" i="4" s="1"/>
  <c r="G489" i="4"/>
  <c r="H489" i="4"/>
  <c r="I489" i="4" a="1"/>
  <c r="I489" i="4" s="1"/>
  <c r="G488" i="4"/>
  <c r="H488" i="4"/>
  <c r="I488" i="4" a="1"/>
  <c r="I488" i="4" s="1"/>
  <c r="I487" i="4" a="1"/>
  <c r="I487" i="4" s="1"/>
  <c r="G487" i="4"/>
  <c r="H487" i="4"/>
  <c r="I486" i="4" a="1"/>
  <c r="I486" i="4" s="1"/>
  <c r="G486" i="4"/>
  <c r="H486" i="4"/>
  <c r="G485" i="4"/>
  <c r="H485" i="4"/>
  <c r="I485" i="4" a="1"/>
  <c r="I485" i="4" s="1"/>
  <c r="G484" i="4"/>
  <c r="H484" i="4"/>
  <c r="I484" i="4" a="1"/>
  <c r="I484" i="4" s="1"/>
  <c r="I483" i="4" a="1"/>
  <c r="I483" i="4" s="1"/>
  <c r="G483" i="4"/>
  <c r="H483" i="4"/>
  <c r="G482" i="4"/>
  <c r="H482" i="4"/>
  <c r="I482" i="4" a="1"/>
  <c r="I482" i="4" s="1"/>
  <c r="I481" i="4" a="1"/>
  <c r="I481" i="4" s="1"/>
  <c r="G481" i="4"/>
  <c r="H481" i="4"/>
  <c r="G480" i="4"/>
  <c r="H480" i="4"/>
  <c r="I480" i="4" a="1"/>
  <c r="I480" i="4" s="1"/>
  <c r="I479" i="4" a="1"/>
  <c r="I479" i="4" s="1"/>
  <c r="G479" i="4"/>
  <c r="H479" i="4"/>
  <c r="G478" i="4"/>
  <c r="H478" i="4"/>
  <c r="I478" i="4" a="1"/>
  <c r="I478" i="4" s="1"/>
  <c r="I477" i="4" a="1"/>
  <c r="I477" i="4" s="1"/>
  <c r="H477" i="4"/>
  <c r="G476" i="4"/>
  <c r="H476" i="4"/>
  <c r="I476" i="4" a="1"/>
  <c r="I476" i="4" s="1"/>
  <c r="I475" i="4" a="1"/>
  <c r="I475" i="4" s="1"/>
  <c r="H475" i="4"/>
  <c r="I474" i="4" a="1"/>
  <c r="I474" i="4" s="1"/>
  <c r="G474" i="4"/>
  <c r="H474" i="4"/>
  <c r="G473" i="4"/>
  <c r="H473" i="4"/>
  <c r="I473" i="4" a="1"/>
  <c r="I473" i="4" s="1"/>
  <c r="G472" i="4"/>
  <c r="H472" i="4"/>
  <c r="I472" i="4" a="1"/>
  <c r="I472" i="4" s="1"/>
  <c r="I471" i="4" a="1"/>
  <c r="I471" i="4" s="1"/>
  <c r="G471" i="4"/>
  <c r="H471" i="4"/>
  <c r="I470" i="4" a="1"/>
  <c r="I470" i="4" s="1"/>
  <c r="G470" i="4"/>
  <c r="H470" i="4"/>
  <c r="G469" i="4"/>
  <c r="H469" i="4"/>
  <c r="I469" i="4" a="1"/>
  <c r="I469" i="4" s="1"/>
  <c r="I468" i="4" a="1"/>
  <c r="I468" i="4" s="1"/>
  <c r="G468" i="4"/>
  <c r="H468" i="4"/>
  <c r="G467" i="4"/>
  <c r="H467" i="4"/>
  <c r="I467" i="4" a="1"/>
  <c r="I467" i="4" s="1"/>
  <c r="I466" i="4" a="1"/>
  <c r="I466" i="4" s="1"/>
  <c r="G466" i="4"/>
  <c r="H466" i="4"/>
  <c r="I465" i="4" a="1"/>
  <c r="I465" i="4" s="1"/>
  <c r="H465" i="4"/>
  <c r="G464" i="4"/>
  <c r="H464" i="4"/>
  <c r="I464" i="4" a="1"/>
  <c r="I464" i="4" s="1"/>
  <c r="I463" i="4" a="1"/>
  <c r="I463" i="4" s="1"/>
  <c r="G463" i="4"/>
  <c r="H463" i="4"/>
  <c r="I462" i="4" a="1"/>
  <c r="I462" i="4" s="1"/>
  <c r="G462" i="4"/>
  <c r="H462" i="4"/>
  <c r="G461" i="4"/>
  <c r="H461" i="4"/>
  <c r="I461" i="4" a="1"/>
  <c r="I461" i="4" s="1"/>
  <c r="I460" i="4" a="1"/>
  <c r="I460" i="4" s="1"/>
  <c r="G460" i="4"/>
  <c r="H460" i="4"/>
  <c r="I459" i="4" a="1"/>
  <c r="I459" i="4" s="1"/>
  <c r="G459" i="4"/>
  <c r="H459" i="4"/>
  <c r="G458" i="4"/>
  <c r="H458" i="4"/>
  <c r="I458" i="4" a="1"/>
  <c r="I458" i="4" s="1"/>
  <c r="I457" i="4" a="1"/>
  <c r="I457" i="4" s="1"/>
  <c r="G457" i="4"/>
  <c r="H457" i="4"/>
  <c r="I456" i="4" a="1"/>
  <c r="I456" i="4" s="1"/>
  <c r="G456" i="4"/>
  <c r="H456" i="4"/>
  <c r="I455" i="4" a="1"/>
  <c r="I455" i="4" s="1"/>
  <c r="G455" i="4"/>
  <c r="H455" i="4"/>
  <c r="G454" i="4"/>
  <c r="H454" i="4"/>
  <c r="I454" i="4" a="1"/>
  <c r="I454" i="4" s="1"/>
  <c r="G453" i="4"/>
  <c r="H453" i="4"/>
  <c r="I453" i="4" a="1"/>
  <c r="I453" i="4" s="1"/>
  <c r="G452" i="4"/>
  <c r="H452" i="4"/>
  <c r="I452" i="4" a="1"/>
  <c r="I452" i="4" s="1"/>
  <c r="I451" i="4" a="1"/>
  <c r="I451" i="4" s="1"/>
  <c r="G451" i="4"/>
  <c r="H451" i="4"/>
  <c r="G450" i="4"/>
  <c r="H450" i="4"/>
  <c r="I450" i="4" a="1"/>
  <c r="I450" i="4" s="1"/>
  <c r="G449" i="4"/>
  <c r="H449" i="4"/>
  <c r="I449" i="4" a="1"/>
  <c r="I449" i="4" s="1"/>
  <c r="I448" i="4" a="1"/>
  <c r="I448" i="4" s="1"/>
  <c r="H448" i="4"/>
  <c r="G447" i="4"/>
  <c r="H447" i="4"/>
  <c r="I447" i="4" a="1"/>
  <c r="I447" i="4" s="1"/>
  <c r="I446" i="4" a="1"/>
  <c r="I446" i="4" s="1"/>
  <c r="G446" i="4"/>
  <c r="H446" i="4"/>
  <c r="I445" i="4" a="1"/>
  <c r="I445" i="4" s="1"/>
  <c r="H445" i="4"/>
  <c r="I444" i="4" a="1"/>
  <c r="I444" i="4" s="1"/>
  <c r="G444" i="4"/>
  <c r="H444" i="4"/>
  <c r="G443" i="4"/>
  <c r="H443" i="4"/>
  <c r="I443" i="4" a="1"/>
  <c r="I443" i="4" s="1"/>
  <c r="I442" i="4" a="1"/>
  <c r="I442" i="4" s="1"/>
  <c r="H442" i="4"/>
  <c r="I441" i="4" a="1"/>
  <c r="I441" i="4" s="1"/>
  <c r="G441" i="4"/>
  <c r="H441" i="4"/>
  <c r="I440" i="4" a="1"/>
  <c r="I440" i="4" s="1"/>
  <c r="G440" i="4"/>
  <c r="H440" i="4"/>
  <c r="G439" i="4"/>
  <c r="H439" i="4"/>
  <c r="I439" i="4" a="1"/>
  <c r="I439" i="4" s="1"/>
  <c r="G438" i="4"/>
  <c r="H438" i="4"/>
  <c r="I438" i="4" a="1"/>
  <c r="I438" i="4" s="1"/>
  <c r="I437" i="4" a="1"/>
  <c r="I437" i="4" s="1"/>
  <c r="H437" i="4"/>
  <c r="I436" i="4" a="1"/>
  <c r="I436" i="4" s="1"/>
  <c r="H436" i="4"/>
  <c r="I435" i="4" a="1"/>
  <c r="I435" i="4" s="1"/>
  <c r="G435" i="4"/>
  <c r="H435" i="4"/>
  <c r="G434" i="4"/>
  <c r="H434" i="4"/>
  <c r="I434" i="4" a="1"/>
  <c r="I434" i="4" s="1"/>
  <c r="G433" i="4"/>
  <c r="H433" i="4"/>
  <c r="I433" i="4" a="1"/>
  <c r="I433" i="4" s="1"/>
  <c r="G432" i="4"/>
  <c r="H432" i="4"/>
  <c r="I432" i="4" a="1"/>
  <c r="I432" i="4" s="1"/>
  <c r="G431" i="4"/>
  <c r="H431" i="4"/>
  <c r="I431" i="4" a="1"/>
  <c r="I431" i="4" s="1"/>
  <c r="I430" i="4" a="1"/>
  <c r="I430" i="4" s="1"/>
  <c r="G430" i="4"/>
  <c r="H430" i="4"/>
  <c r="I429" i="4" a="1"/>
  <c r="I429" i="4" s="1"/>
  <c r="G429" i="4"/>
  <c r="H429" i="4"/>
  <c r="I428" i="4" a="1"/>
  <c r="I428" i="4" s="1"/>
  <c r="G428" i="4"/>
  <c r="H428" i="4"/>
  <c r="I427" i="4" a="1"/>
  <c r="I427" i="4" s="1"/>
  <c r="G427" i="4"/>
  <c r="H427" i="4"/>
  <c r="I426" i="4" a="1"/>
  <c r="I426" i="4" s="1"/>
  <c r="G426" i="4"/>
  <c r="H426" i="4"/>
  <c r="I425" i="4" a="1"/>
  <c r="I425" i="4" s="1"/>
  <c r="G425" i="4"/>
  <c r="H425" i="4"/>
  <c r="I424" i="4" a="1"/>
  <c r="I424" i="4" s="1"/>
  <c r="G424" i="4"/>
  <c r="H424" i="4"/>
  <c r="G423" i="4"/>
  <c r="H423" i="4"/>
  <c r="I423" i="4" a="1"/>
  <c r="I423" i="4" s="1"/>
  <c r="I422" i="4" a="1"/>
  <c r="I422" i="4" s="1"/>
  <c r="H422" i="4"/>
  <c r="I421" i="4" a="1"/>
  <c r="I421" i="4" s="1"/>
  <c r="G421" i="4"/>
  <c r="H421" i="4"/>
  <c r="I420" i="4" a="1"/>
  <c r="I420" i="4" s="1"/>
  <c r="G420" i="4"/>
  <c r="H420" i="4"/>
  <c r="I419" i="4" a="1"/>
  <c r="I419" i="4" s="1"/>
  <c r="G419" i="4"/>
  <c r="H419" i="4"/>
  <c r="G418" i="4"/>
  <c r="H418" i="4"/>
  <c r="I418" i="4" a="1"/>
  <c r="I418" i="4" s="1"/>
  <c r="G417" i="4"/>
  <c r="H417" i="4"/>
  <c r="I417" i="4" a="1"/>
  <c r="I417" i="4" s="1"/>
  <c r="I416" i="4" a="1"/>
  <c r="I416" i="4" s="1"/>
  <c r="H416" i="4"/>
  <c r="I415" i="4" a="1"/>
  <c r="I415" i="4" s="1"/>
  <c r="G415" i="4"/>
  <c r="H415" i="4"/>
  <c r="I414" i="4" a="1"/>
  <c r="I414" i="4" s="1"/>
  <c r="G414" i="4"/>
  <c r="H414" i="4"/>
  <c r="I413" i="4" a="1"/>
  <c r="I413" i="4" s="1"/>
  <c r="G413" i="4"/>
  <c r="H413" i="4"/>
  <c r="I412" i="4" a="1"/>
  <c r="I412" i="4" s="1"/>
  <c r="G412" i="4"/>
  <c r="H412" i="4"/>
  <c r="G411" i="4"/>
  <c r="H411" i="4"/>
  <c r="I411" i="4" a="1"/>
  <c r="I411" i="4" s="1"/>
  <c r="I410" i="4" a="1"/>
  <c r="I410" i="4" s="1"/>
  <c r="G410" i="4"/>
  <c r="H410" i="4"/>
  <c r="G409" i="4"/>
  <c r="H409" i="4"/>
  <c r="I409" i="4" a="1"/>
  <c r="I409" i="4" s="1"/>
  <c r="I408" i="4" a="1"/>
  <c r="I408" i="4" s="1"/>
  <c r="G408" i="4"/>
  <c r="H408" i="4"/>
  <c r="G407" i="4"/>
  <c r="H407" i="4"/>
  <c r="I407" i="4" a="1"/>
  <c r="I407" i="4" s="1"/>
  <c r="G406" i="4"/>
  <c r="H406" i="4"/>
  <c r="I406" i="4" a="1"/>
  <c r="I406" i="4" s="1"/>
  <c r="I405" i="4" a="1"/>
  <c r="I405" i="4" s="1"/>
  <c r="G405" i="4"/>
  <c r="H405" i="4"/>
  <c r="I404" i="4" a="1"/>
  <c r="I404" i="4" s="1"/>
  <c r="G404" i="4"/>
  <c r="H404" i="4"/>
  <c r="I403" i="4" a="1"/>
  <c r="I403" i="4" s="1"/>
  <c r="H403" i="4"/>
  <c r="G402" i="4"/>
  <c r="H402" i="4"/>
  <c r="I402" i="4" a="1"/>
  <c r="I402" i="4" s="1"/>
  <c r="I401" i="4" a="1"/>
  <c r="I401" i="4" s="1"/>
  <c r="H401" i="4"/>
  <c r="G400" i="4"/>
  <c r="H400" i="4"/>
  <c r="I400" i="4" a="1"/>
  <c r="I400" i="4" s="1"/>
  <c r="I399" i="4" a="1"/>
  <c r="I399" i="4" s="1"/>
  <c r="G399" i="4"/>
  <c r="H399" i="4"/>
  <c r="I398" i="4" a="1"/>
  <c r="I398" i="4" s="1"/>
  <c r="G398" i="4"/>
  <c r="H398" i="4"/>
  <c r="G397" i="4"/>
  <c r="H397" i="4"/>
  <c r="I397" i="4" a="1"/>
  <c r="I397" i="4" s="1"/>
  <c r="I396" i="4" a="1"/>
  <c r="I396" i="4" s="1"/>
  <c r="G396" i="4"/>
  <c r="H396" i="4"/>
  <c r="I395" i="4" a="1"/>
  <c r="I395" i="4" s="1"/>
  <c r="G395" i="4"/>
  <c r="H395" i="4"/>
  <c r="G394" i="4"/>
  <c r="H394" i="4"/>
  <c r="I394" i="4" a="1"/>
  <c r="I394" i="4" s="1"/>
  <c r="G393" i="4"/>
  <c r="H393" i="4"/>
  <c r="I393" i="4" a="1"/>
  <c r="I393" i="4" s="1"/>
  <c r="I392" i="4" a="1"/>
  <c r="I392" i="4" s="1"/>
  <c r="G392" i="4"/>
  <c r="H392" i="4"/>
  <c r="I391" i="4" a="1"/>
  <c r="I391" i="4" s="1"/>
  <c r="G391" i="4"/>
  <c r="H391" i="4"/>
  <c r="I390" i="4" a="1"/>
  <c r="I390" i="4" s="1"/>
  <c r="H390" i="4"/>
  <c r="I389" i="4" a="1"/>
  <c r="I389" i="4" s="1"/>
  <c r="G389" i="4"/>
  <c r="H389" i="4"/>
  <c r="G388" i="4"/>
  <c r="H388" i="4"/>
  <c r="I388" i="4" a="1"/>
  <c r="I388" i="4" s="1"/>
  <c r="G387" i="4"/>
  <c r="H387" i="4"/>
  <c r="I387" i="4" a="1"/>
  <c r="I387" i="4" s="1"/>
  <c r="G386" i="4"/>
  <c r="H386" i="4"/>
  <c r="I386" i="4" a="1"/>
  <c r="I386" i="4" s="1"/>
  <c r="I385" i="4" a="1"/>
  <c r="I385" i="4" s="1"/>
  <c r="G385" i="4"/>
  <c r="H385" i="4"/>
  <c r="I384" i="4" a="1"/>
  <c r="I384" i="4" s="1"/>
  <c r="G384" i="4"/>
  <c r="H384" i="4"/>
  <c r="G383" i="4"/>
  <c r="H383" i="4"/>
  <c r="I383" i="4" a="1"/>
  <c r="I383" i="4" s="1"/>
  <c r="I382" i="4" a="1"/>
  <c r="I382" i="4" s="1"/>
  <c r="G382" i="4"/>
  <c r="H382" i="4"/>
  <c r="G381" i="4"/>
  <c r="H381" i="4"/>
  <c r="I381" i="4" a="1"/>
  <c r="I381" i="4" s="1"/>
  <c r="G380" i="4"/>
  <c r="H380" i="4"/>
  <c r="I380" i="4" a="1"/>
  <c r="I380" i="4" s="1"/>
  <c r="I379" i="4" a="1"/>
  <c r="I379" i="4" s="1"/>
  <c r="G379" i="4"/>
  <c r="H379" i="4"/>
  <c r="G378" i="4"/>
  <c r="H378" i="4"/>
  <c r="I378" i="4" a="1"/>
  <c r="I378" i="4" s="1"/>
  <c r="I377" i="4" a="1"/>
  <c r="I377" i="4" s="1"/>
  <c r="G377" i="4"/>
  <c r="H377" i="4"/>
  <c r="G376" i="4"/>
  <c r="H376" i="4"/>
  <c r="I376" i="4" a="1"/>
  <c r="I376" i="4" s="1"/>
  <c r="G375" i="4"/>
  <c r="H375" i="4"/>
  <c r="I375" i="4" a="1"/>
  <c r="I375" i="4" s="1"/>
  <c r="G374" i="4"/>
  <c r="H374" i="4"/>
  <c r="I374" i="4" a="1"/>
  <c r="I374" i="4" s="1"/>
  <c r="I373" i="4" a="1"/>
  <c r="I373" i="4" s="1"/>
  <c r="G373" i="4"/>
  <c r="H373" i="4"/>
  <c r="I372" i="4" a="1"/>
  <c r="I372" i="4" s="1"/>
  <c r="G372" i="4"/>
  <c r="H372" i="4"/>
  <c r="I371" i="4" a="1"/>
  <c r="I371" i="4" s="1"/>
  <c r="G371" i="4"/>
  <c r="H371" i="4"/>
  <c r="G370" i="4"/>
  <c r="H370" i="4"/>
  <c r="I370" i="4" a="1"/>
  <c r="I370" i="4" s="1"/>
  <c r="I369" i="4" a="1"/>
  <c r="I369" i="4" s="1"/>
  <c r="G369" i="4"/>
  <c r="H369" i="4"/>
  <c r="G368" i="4"/>
  <c r="H368" i="4"/>
  <c r="I368" i="4" a="1"/>
  <c r="I368" i="4" s="1"/>
  <c r="I367" i="4" a="1"/>
  <c r="I367" i="4" s="1"/>
  <c r="G367" i="4"/>
  <c r="H367" i="4"/>
  <c r="G366" i="4"/>
  <c r="H366" i="4"/>
  <c r="I366" i="4" a="1"/>
  <c r="I366" i="4" s="1"/>
  <c r="I365" i="4" a="1"/>
  <c r="I365" i="4" s="1"/>
  <c r="G365" i="4"/>
  <c r="H365" i="4"/>
  <c r="I364" i="4" a="1"/>
  <c r="I364" i="4" s="1"/>
  <c r="G364" i="4"/>
  <c r="H364" i="4"/>
  <c r="G363" i="4"/>
  <c r="H363" i="4"/>
  <c r="I363" i="4" a="1"/>
  <c r="I363" i="4" s="1"/>
  <c r="G362" i="4"/>
  <c r="H362" i="4"/>
  <c r="I362" i="4" a="1"/>
  <c r="I362" i="4" s="1"/>
  <c r="G361" i="4"/>
  <c r="H361" i="4"/>
  <c r="I361" i="4" a="1"/>
  <c r="I361" i="4" s="1"/>
  <c r="I360" i="4" a="1"/>
  <c r="I360" i="4" s="1"/>
  <c r="G360" i="4"/>
  <c r="H360" i="4"/>
  <c r="I359" i="4" a="1"/>
  <c r="I359" i="4" s="1"/>
  <c r="G359" i="4"/>
  <c r="H359" i="4"/>
  <c r="I358" i="4" a="1"/>
  <c r="I358" i="4" s="1"/>
  <c r="G358" i="4"/>
  <c r="H358" i="4"/>
  <c r="I357" i="4" a="1"/>
  <c r="I357" i="4" s="1"/>
  <c r="G357" i="4"/>
  <c r="H357" i="4"/>
  <c r="G356" i="4"/>
  <c r="H356" i="4"/>
  <c r="I356" i="4" a="1"/>
  <c r="I356" i="4" s="1"/>
  <c r="I355" i="4" a="1"/>
  <c r="I355" i="4" s="1"/>
  <c r="G355" i="4"/>
  <c r="H355" i="4"/>
  <c r="I354" i="4" a="1"/>
  <c r="I354" i="4" s="1"/>
  <c r="G354" i="4"/>
  <c r="H354" i="4"/>
  <c r="G353" i="4"/>
  <c r="H353" i="4"/>
  <c r="I353" i="4" a="1"/>
  <c r="I353" i="4" s="1"/>
  <c r="G352" i="4"/>
  <c r="H352" i="4"/>
  <c r="I352" i="4" a="1"/>
  <c r="I352" i="4" s="1"/>
  <c r="G351" i="4"/>
  <c r="H351" i="4"/>
  <c r="I351" i="4" a="1"/>
  <c r="I351" i="4" s="1"/>
  <c r="I350" i="4" a="1"/>
  <c r="I350" i="4" s="1"/>
  <c r="G350" i="4"/>
  <c r="H350" i="4"/>
  <c r="I349" i="4" a="1"/>
  <c r="I349" i="4" s="1"/>
  <c r="G349" i="4"/>
  <c r="H349" i="4"/>
  <c r="I348" i="4" a="1"/>
  <c r="I348" i="4" s="1"/>
  <c r="G348" i="4"/>
  <c r="H348" i="4"/>
  <c r="I347" i="4" a="1"/>
  <c r="I347" i="4" s="1"/>
  <c r="H347" i="4"/>
  <c r="I346" i="4" a="1"/>
  <c r="I346" i="4" s="1"/>
  <c r="G346" i="4"/>
  <c r="H346" i="4"/>
  <c r="I345" i="4" a="1"/>
  <c r="I345" i="4" s="1"/>
  <c r="G345" i="4"/>
  <c r="H345" i="4"/>
  <c r="G344" i="4"/>
  <c r="H344" i="4"/>
  <c r="I344" i="4" a="1"/>
  <c r="I344" i="4" s="1"/>
  <c r="I343" i="4" a="1"/>
  <c r="I343" i="4" s="1"/>
  <c r="G343" i="4"/>
  <c r="H343" i="4"/>
  <c r="I342" i="4" a="1"/>
  <c r="I342" i="4" s="1"/>
  <c r="G342" i="4"/>
  <c r="H342" i="4"/>
  <c r="G341" i="4"/>
  <c r="H341" i="4"/>
  <c r="I341" i="4" a="1"/>
  <c r="I341" i="4" s="1"/>
  <c r="I340" i="4" a="1"/>
  <c r="I340" i="4" s="1"/>
  <c r="G340" i="4"/>
  <c r="H340" i="4"/>
  <c r="G339" i="4"/>
  <c r="H339" i="4"/>
  <c r="I339" i="4" a="1"/>
  <c r="I339" i="4" s="1"/>
  <c r="G338" i="4"/>
  <c r="H338" i="4"/>
  <c r="I338" i="4" a="1"/>
  <c r="I338" i="4" s="1"/>
  <c r="I337" i="4" a="1"/>
  <c r="I337" i="4" s="1"/>
  <c r="G337" i="4"/>
  <c r="H337" i="4"/>
  <c r="G336" i="4"/>
  <c r="H336" i="4"/>
  <c r="I336" i="4" a="1"/>
  <c r="I336" i="4" s="1"/>
  <c r="G335" i="4"/>
  <c r="H335" i="4"/>
  <c r="I335" i="4" a="1"/>
  <c r="I335" i="4" s="1"/>
  <c r="I334" i="4" a="1"/>
  <c r="I334" i="4" s="1"/>
  <c r="G334" i="4"/>
  <c r="H334" i="4"/>
  <c r="I333" i="4" a="1"/>
  <c r="I333" i="4" s="1"/>
  <c r="G333" i="4"/>
  <c r="H333" i="4"/>
  <c r="I332" i="4" a="1"/>
  <c r="I332" i="4" s="1"/>
  <c r="G332" i="4"/>
  <c r="H332" i="4"/>
  <c r="I331" i="4" a="1"/>
  <c r="I331" i="4" s="1"/>
  <c r="G331" i="4"/>
  <c r="H331" i="4"/>
  <c r="I330" i="4" a="1"/>
  <c r="I330" i="4" s="1"/>
  <c r="G330" i="4"/>
  <c r="H330" i="4"/>
  <c r="G329" i="4"/>
  <c r="H329" i="4"/>
  <c r="I329" i="4" a="1"/>
  <c r="I329" i="4" s="1"/>
  <c r="G328" i="4"/>
  <c r="H328" i="4"/>
  <c r="I328" i="4" a="1"/>
  <c r="I328" i="4" s="1"/>
  <c r="G327" i="4"/>
  <c r="H327" i="4"/>
  <c r="I327" i="4" a="1"/>
  <c r="I327" i="4" s="1"/>
  <c r="G326" i="4"/>
  <c r="H326" i="4"/>
  <c r="I326" i="4" a="1"/>
  <c r="I326" i="4" s="1"/>
  <c r="I325" i="4" a="1"/>
  <c r="I325" i="4" s="1"/>
  <c r="G325" i="4"/>
  <c r="H325" i="4"/>
  <c r="I324" i="4" a="1"/>
  <c r="I324" i="4" s="1"/>
  <c r="G324" i="4"/>
  <c r="H324" i="4"/>
  <c r="G323" i="4"/>
  <c r="H323" i="4"/>
  <c r="I323" i="4" a="1"/>
  <c r="I323" i="4" s="1"/>
  <c r="G322" i="4"/>
  <c r="H322" i="4"/>
  <c r="I322" i="4" a="1"/>
  <c r="I322" i="4" s="1"/>
  <c r="I321" i="4" a="1"/>
  <c r="I321" i="4" s="1"/>
  <c r="H321" i="4"/>
  <c r="I320" i="4" a="1"/>
  <c r="I320" i="4" s="1"/>
  <c r="G320" i="4"/>
  <c r="H320" i="4"/>
  <c r="G319" i="4"/>
  <c r="H319" i="4"/>
  <c r="I319" i="4" a="1"/>
  <c r="I319" i="4" s="1"/>
  <c r="G318" i="4"/>
  <c r="H318" i="4"/>
  <c r="I318" i="4" a="1"/>
  <c r="I318" i="4" s="1"/>
  <c r="G317" i="4"/>
  <c r="H317" i="4"/>
  <c r="I317" i="4" a="1"/>
  <c r="I317" i="4" s="1"/>
  <c r="G316" i="4"/>
  <c r="H316" i="4"/>
  <c r="I316" i="4" a="1"/>
  <c r="I316" i="4" s="1"/>
  <c r="I315" i="4" a="1"/>
  <c r="I315" i="4" s="1"/>
  <c r="G315" i="4"/>
  <c r="H315" i="4"/>
  <c r="I314" i="4" a="1"/>
  <c r="I314" i="4" s="1"/>
  <c r="G314" i="4"/>
  <c r="H314" i="4"/>
  <c r="I313" i="4" a="1"/>
  <c r="I313" i="4" s="1"/>
  <c r="G313" i="4"/>
  <c r="H313" i="4"/>
  <c r="G312" i="4"/>
  <c r="H312" i="4"/>
  <c r="I312" i="4" a="1"/>
  <c r="I312" i="4" s="1"/>
  <c r="I311" i="4" a="1"/>
  <c r="I311" i="4" s="1"/>
  <c r="G311" i="4"/>
  <c r="H311" i="4"/>
  <c r="I310" i="4" a="1"/>
  <c r="I310" i="4" s="1"/>
  <c r="G310" i="4"/>
  <c r="H310" i="4"/>
  <c r="G309" i="4"/>
  <c r="H309" i="4"/>
  <c r="I309" i="4" a="1"/>
  <c r="I309" i="4" s="1"/>
  <c r="G308" i="4"/>
  <c r="H308" i="4"/>
  <c r="I308" i="4" a="1"/>
  <c r="I308" i="4" s="1"/>
  <c r="G307" i="4"/>
  <c r="H307" i="4"/>
  <c r="I307" i="4" a="1"/>
  <c r="I307" i="4" s="1"/>
  <c r="G306" i="4"/>
  <c r="H306" i="4"/>
  <c r="I306" i="4" a="1"/>
  <c r="I306" i="4" s="1"/>
  <c r="I305" i="4" a="1"/>
  <c r="I305" i="4" s="1"/>
  <c r="G305" i="4"/>
  <c r="H305" i="4"/>
  <c r="G304" i="4"/>
  <c r="H304" i="4"/>
  <c r="I304" i="4" a="1"/>
  <c r="I304" i="4" s="1"/>
  <c r="G303" i="4"/>
  <c r="H303" i="4"/>
  <c r="I303" i="4" a="1"/>
  <c r="I303" i="4" s="1"/>
  <c r="I302" i="4" a="1"/>
  <c r="I302" i="4" s="1"/>
  <c r="G302" i="4"/>
  <c r="H302" i="4"/>
  <c r="G301" i="4"/>
  <c r="H301" i="4"/>
  <c r="I301" i="4" a="1"/>
  <c r="I301" i="4" s="1"/>
  <c r="I300" i="4" a="1"/>
  <c r="I300" i="4" s="1"/>
  <c r="G300" i="4"/>
  <c r="H300" i="4"/>
  <c r="I299" i="4" a="1"/>
  <c r="I299" i="4" s="1"/>
  <c r="G299" i="4"/>
  <c r="H299" i="4"/>
  <c r="I298" i="4" a="1"/>
  <c r="I298" i="4" s="1"/>
  <c r="G298" i="4"/>
  <c r="H298" i="4"/>
  <c r="I297" i="4" a="1"/>
  <c r="I297" i="4" s="1"/>
  <c r="G297" i="4"/>
  <c r="H297" i="4"/>
  <c r="I296" i="4" a="1"/>
  <c r="I296" i="4" s="1"/>
  <c r="H296" i="4"/>
  <c r="I295" i="4" a="1"/>
  <c r="I295" i="4" s="1"/>
  <c r="G295" i="4"/>
  <c r="H295" i="4"/>
  <c r="I294" i="4" a="1"/>
  <c r="I294" i="4" s="1"/>
  <c r="H294" i="4"/>
  <c r="G293" i="4"/>
  <c r="H293" i="4"/>
  <c r="I293" i="4" a="1"/>
  <c r="I293" i="4" s="1"/>
  <c r="G292" i="4"/>
  <c r="H292" i="4"/>
  <c r="I292" i="4" a="1"/>
  <c r="I292" i="4" s="1"/>
  <c r="G291" i="4"/>
  <c r="H291" i="4"/>
  <c r="I291" i="4" a="1"/>
  <c r="I291" i="4" s="1"/>
  <c r="G290" i="4"/>
  <c r="H290" i="4"/>
  <c r="I290" i="4" a="1"/>
  <c r="I290" i="4" s="1"/>
  <c r="G289" i="4"/>
  <c r="H289" i="4"/>
  <c r="I289" i="4" a="1"/>
  <c r="I289" i="4" s="1"/>
  <c r="G288" i="4"/>
  <c r="H288" i="4"/>
  <c r="I288" i="4" a="1"/>
  <c r="I288" i="4" s="1"/>
  <c r="I287" i="4" a="1"/>
  <c r="I287" i="4" s="1"/>
  <c r="G287" i="4"/>
  <c r="H287" i="4"/>
  <c r="G286" i="4"/>
  <c r="I286" i="4" a="1"/>
  <c r="I286" i="4" s="1"/>
  <c r="H286" i="4"/>
  <c r="G285" i="4"/>
  <c r="H285" i="4"/>
  <c r="I285" i="4" a="1"/>
  <c r="I285" i="4" s="1"/>
  <c r="G284" i="4"/>
  <c r="H284" i="4"/>
  <c r="I284" i="4" a="1"/>
  <c r="I284" i="4" s="1"/>
  <c r="G283" i="4"/>
  <c r="H283" i="4"/>
  <c r="I283" i="4" a="1"/>
  <c r="I283" i="4" s="1"/>
  <c r="I282" i="4" a="1"/>
  <c r="I282" i="4" s="1"/>
  <c r="G282" i="4"/>
  <c r="H282" i="4"/>
  <c r="G281" i="4"/>
  <c r="H281" i="4"/>
  <c r="I281" i="4" a="1"/>
  <c r="I281" i="4" s="1"/>
  <c r="G280" i="4"/>
  <c r="H280" i="4"/>
  <c r="I280" i="4" a="1"/>
  <c r="I280" i="4" s="1"/>
  <c r="I279" i="4" a="1"/>
  <c r="I279" i="4" s="1"/>
  <c r="G279" i="4"/>
  <c r="H279" i="4"/>
  <c r="I278" i="4" a="1"/>
  <c r="I278" i="4" s="1"/>
  <c r="G278" i="4"/>
  <c r="H278" i="4"/>
  <c r="I277" i="4" a="1"/>
  <c r="I277" i="4" s="1"/>
  <c r="G277" i="4"/>
  <c r="H277" i="4"/>
  <c r="G276" i="4"/>
  <c r="H276" i="4"/>
  <c r="I276" i="4" a="1"/>
  <c r="I276" i="4" s="1"/>
  <c r="G275" i="4"/>
  <c r="H275" i="4"/>
  <c r="I275" i="4" a="1"/>
  <c r="I275" i="4" s="1"/>
  <c r="I274" i="4" a="1"/>
  <c r="I274" i="4" s="1"/>
  <c r="G274" i="4"/>
  <c r="H274" i="4"/>
  <c r="I273" i="4" a="1"/>
  <c r="I273" i="4" s="1"/>
  <c r="G273" i="4"/>
  <c r="H273" i="4"/>
  <c r="G272" i="4"/>
  <c r="H272" i="4"/>
  <c r="I272" i="4" a="1"/>
  <c r="I272" i="4" s="1"/>
  <c r="G271" i="4"/>
  <c r="H271" i="4"/>
  <c r="I271" i="4" a="1"/>
  <c r="I271" i="4" s="1"/>
  <c r="G270" i="4"/>
  <c r="H270" i="4"/>
  <c r="I270" i="4" a="1"/>
  <c r="I270" i="4" s="1"/>
  <c r="G269" i="4"/>
  <c r="H269" i="4"/>
  <c r="I269" i="4" a="1"/>
  <c r="I269" i="4" s="1"/>
  <c r="I268" i="4" a="1"/>
  <c r="I268" i="4" s="1"/>
  <c r="G268" i="4"/>
  <c r="H268" i="4"/>
  <c r="I267" i="4" a="1"/>
  <c r="I267" i="4" s="1"/>
  <c r="H267" i="4"/>
  <c r="I266" i="4" a="1"/>
  <c r="I266" i="4" s="1"/>
  <c r="G266" i="4"/>
  <c r="H266" i="4"/>
  <c r="G265" i="4"/>
  <c r="H265" i="4"/>
  <c r="I265" i="4" a="1"/>
  <c r="I265" i="4" s="1"/>
  <c r="I264" i="4" a="1"/>
  <c r="I264" i="4" s="1"/>
  <c r="G264" i="4"/>
  <c r="H264" i="4"/>
  <c r="I263" i="4" a="1"/>
  <c r="I263" i="4" s="1"/>
  <c r="G263" i="4"/>
  <c r="H263" i="4"/>
  <c r="I262" i="4" a="1"/>
  <c r="I262" i="4" s="1"/>
  <c r="G262" i="4"/>
  <c r="H262" i="4"/>
  <c r="I261" i="4" a="1"/>
  <c r="I261" i="4" s="1"/>
  <c r="H261" i="4"/>
  <c r="I260" i="4" a="1"/>
  <c r="I260" i="4" s="1"/>
  <c r="G260" i="4"/>
  <c r="H260" i="4"/>
  <c r="I259" i="4" a="1"/>
  <c r="I259" i="4" s="1"/>
  <c r="G259" i="4"/>
  <c r="H259" i="4"/>
  <c r="I258" i="4" a="1"/>
  <c r="I258" i="4" s="1"/>
  <c r="G258" i="4"/>
  <c r="H258" i="4"/>
  <c r="I257" i="4" a="1"/>
  <c r="I257" i="4" s="1"/>
  <c r="G257" i="4"/>
  <c r="H257" i="4"/>
  <c r="G256" i="4"/>
  <c r="H256" i="4"/>
  <c r="I256" i="4" a="1"/>
  <c r="I256" i="4" s="1"/>
  <c r="G255" i="4"/>
  <c r="H255" i="4"/>
  <c r="I255" i="4" a="1"/>
  <c r="I255" i="4" s="1"/>
  <c r="I254" i="4" a="1"/>
  <c r="I254" i="4" s="1"/>
  <c r="G254" i="4"/>
  <c r="H254" i="4"/>
  <c r="G253" i="4"/>
  <c r="H253" i="4"/>
  <c r="I253" i="4" a="1"/>
  <c r="I253" i="4" s="1"/>
  <c r="G252" i="4"/>
  <c r="H252" i="4"/>
  <c r="I252" i="4" a="1"/>
  <c r="I252" i="4" s="1"/>
  <c r="G251" i="4"/>
  <c r="H251" i="4"/>
  <c r="I251" i="4" a="1"/>
  <c r="I251" i="4" s="1"/>
  <c r="G250" i="4"/>
  <c r="H250" i="4"/>
  <c r="I250" i="4" a="1"/>
  <c r="I250" i="4" s="1"/>
  <c r="I249" i="4" a="1"/>
  <c r="I249" i="4" s="1"/>
  <c r="G249" i="4"/>
  <c r="H249" i="4"/>
  <c r="I248" i="4" a="1"/>
  <c r="I248" i="4" s="1"/>
  <c r="G248" i="4"/>
  <c r="H248" i="4"/>
  <c r="I247" i="4" a="1"/>
  <c r="I247" i="4" s="1"/>
  <c r="G247" i="4"/>
  <c r="H247" i="4"/>
  <c r="G246" i="4"/>
  <c r="H246" i="4"/>
  <c r="I246" i="4" a="1"/>
  <c r="I246" i="4" s="1"/>
  <c r="G245" i="4"/>
  <c r="H245" i="4"/>
  <c r="I245" i="4" a="1"/>
  <c r="I245" i="4" s="1"/>
  <c r="I244" i="4" a="1"/>
  <c r="I244" i="4" s="1"/>
  <c r="G244" i="4"/>
  <c r="H244" i="4"/>
  <c r="I242" i="4" a="1"/>
  <c r="I242" i="4" s="1"/>
  <c r="I243" i="4" a="1"/>
  <c r="I243" i="4" s="1"/>
  <c r="G243" i="4"/>
  <c r="H243" i="4"/>
  <c r="G242" i="4"/>
  <c r="H242" i="4"/>
  <c r="I241" i="4" a="1"/>
  <c r="I241" i="4" s="1"/>
  <c r="G241" i="4"/>
  <c r="H241" i="4"/>
  <c r="I240" i="4" a="1"/>
  <c r="I240" i="4" s="1"/>
  <c r="G240" i="4"/>
  <c r="H240" i="4"/>
  <c r="I239" i="4" a="1"/>
  <c r="I239" i="4" s="1"/>
  <c r="H239" i="4"/>
  <c r="G238" i="4"/>
  <c r="H238" i="4"/>
  <c r="I238" i="4" a="1"/>
  <c r="I238" i="4" s="1"/>
  <c r="G237" i="4"/>
  <c r="H237" i="4"/>
  <c r="I237" i="4" a="1"/>
  <c r="I237" i="4" s="1"/>
  <c r="I236" i="4" a="1"/>
  <c r="I236" i="4" s="1"/>
  <c r="G236" i="4"/>
  <c r="H236" i="4"/>
  <c r="I234" i="4" a="1"/>
  <c r="I234" i="4" s="1"/>
  <c r="I235" i="4" a="1"/>
  <c r="I235" i="4" s="1"/>
  <c r="H235" i="4"/>
  <c r="G234" i="4"/>
  <c r="H234" i="4"/>
  <c r="G233" i="4"/>
  <c r="H233" i="4"/>
  <c r="I233" i="4" a="1"/>
  <c r="I233" i="4" s="1"/>
  <c r="G232" i="4"/>
  <c r="H232" i="4"/>
  <c r="I232" i="4" a="1"/>
  <c r="I232" i="4" s="1"/>
  <c r="I229" i="4" a="1"/>
  <c r="I229" i="4" s="1"/>
  <c r="G231" i="4"/>
  <c r="H231" i="4"/>
  <c r="I231" i="4" a="1"/>
  <c r="I231" i="4" s="1"/>
  <c r="I230" i="4" a="1"/>
  <c r="I230" i="4" s="1"/>
  <c r="G230" i="4"/>
  <c r="H230" i="4"/>
  <c r="G229" i="4"/>
  <c r="H229" i="4"/>
  <c r="I228" i="4" a="1"/>
  <c r="I228" i="4" s="1"/>
  <c r="G228" i="4"/>
  <c r="H228" i="4"/>
  <c r="I227" i="4" a="1"/>
  <c r="I227" i="4" s="1"/>
  <c r="H227" i="4"/>
  <c r="I226" i="4" a="1"/>
  <c r="I226" i="4" s="1"/>
  <c r="G226" i="4"/>
  <c r="H226" i="4"/>
  <c r="G225" i="4"/>
  <c r="H225" i="4"/>
  <c r="I225" i="4" a="1"/>
  <c r="I225" i="4" s="1"/>
  <c r="G224" i="4"/>
  <c r="H224" i="4"/>
  <c r="I224" i="4" a="1"/>
  <c r="I224" i="4" s="1"/>
  <c r="I223" i="4" a="1"/>
  <c r="I223" i="4" s="1"/>
  <c r="G223" i="4"/>
  <c r="H223" i="4"/>
  <c r="G222" i="4"/>
  <c r="H222" i="4"/>
  <c r="I222" i="4" a="1"/>
  <c r="I222" i="4" s="1"/>
  <c r="G221" i="4"/>
  <c r="H221" i="4"/>
  <c r="I221" i="4" a="1"/>
  <c r="I221" i="4" s="1"/>
  <c r="G220" i="4"/>
  <c r="H220" i="4"/>
  <c r="I220" i="4" a="1"/>
  <c r="I220" i="4" s="1"/>
  <c r="G219" i="4"/>
  <c r="H219" i="4"/>
  <c r="I219" i="4" a="1"/>
  <c r="I219" i="4" s="1"/>
  <c r="I218" i="4" a="1"/>
  <c r="I218" i="4" s="1"/>
  <c r="G218" i="4"/>
  <c r="H218" i="4"/>
  <c r="G217" i="4"/>
  <c r="H217" i="4"/>
  <c r="I217" i="4" a="1"/>
  <c r="I217" i="4" s="1"/>
  <c r="I216" i="4" a="1"/>
  <c r="I216" i="4" s="1"/>
  <c r="G216" i="4"/>
  <c r="H216" i="4"/>
  <c r="G215" i="4"/>
  <c r="H215" i="4"/>
  <c r="I215" i="4" a="1"/>
  <c r="I215" i="4" s="1"/>
  <c r="G214" i="4"/>
  <c r="H214" i="4"/>
  <c r="I214" i="4" a="1"/>
  <c r="I214" i="4" s="1"/>
  <c r="I213" i="4" a="1"/>
  <c r="I213" i="4" s="1"/>
  <c r="H213" i="4"/>
  <c r="G212" i="4"/>
  <c r="H212" i="4"/>
  <c r="I212" i="4" a="1"/>
  <c r="I212" i="4" s="1"/>
  <c r="G211" i="4"/>
  <c r="H211" i="4"/>
  <c r="I211" i="4" a="1"/>
  <c r="I211" i="4" s="1"/>
  <c r="G210" i="4"/>
  <c r="H210" i="4"/>
  <c r="I210" i="4" a="1"/>
  <c r="I210" i="4" s="1"/>
  <c r="I209" i="4" a="1"/>
  <c r="I209" i="4" s="1"/>
  <c r="G209" i="4"/>
  <c r="H209" i="4"/>
  <c r="G208" i="4"/>
  <c r="H208" i="4"/>
  <c r="I208" i="4" a="1"/>
  <c r="I208" i="4" s="1"/>
  <c r="H207" i="4"/>
  <c r="G207" i="4"/>
  <c r="I207" i="4" a="1"/>
  <c r="I207" i="4" s="1"/>
  <c r="I206" i="4" a="1"/>
  <c r="I206" i="4" s="1"/>
  <c r="G206" i="4"/>
  <c r="H206" i="4"/>
  <c r="I205" i="4" a="1"/>
  <c r="I205" i="4" s="1"/>
  <c r="G205" i="4"/>
  <c r="H205" i="4"/>
  <c r="G204" i="4"/>
  <c r="H204" i="4"/>
  <c r="I204" i="4" a="1"/>
  <c r="I204" i="4" s="1"/>
  <c r="I203" i="4" a="1"/>
  <c r="I203" i="4" s="1"/>
  <c r="G203" i="4"/>
  <c r="H203" i="4"/>
  <c r="I202" i="4" a="1"/>
  <c r="I202" i="4" s="1"/>
  <c r="G202" i="4"/>
  <c r="H202" i="4" s="1"/>
  <c r="G201" i="4"/>
  <c r="H201" i="4"/>
  <c r="I201" i="4" a="1"/>
  <c r="I201" i="4" s="1"/>
  <c r="G200" i="4"/>
  <c r="H200" i="4"/>
  <c r="I200" i="4" a="1"/>
  <c r="I200" i="4" s="1"/>
  <c r="I199" i="4" a="1"/>
  <c r="I199" i="4" s="1"/>
  <c r="G199" i="4"/>
  <c r="H199" i="4"/>
  <c r="G198" i="4"/>
  <c r="H198" i="4"/>
  <c r="I198" i="4" a="1"/>
  <c r="I198" i="4" s="1"/>
  <c r="I197" i="4" a="1"/>
  <c r="I197" i="4" s="1"/>
  <c r="G197" i="4"/>
  <c r="H197" i="4"/>
  <c r="G196" i="4"/>
  <c r="H196" i="4"/>
  <c r="I196" i="4" a="1"/>
  <c r="I196" i="4" s="1"/>
  <c r="G195" i="4"/>
  <c r="H195" i="4"/>
  <c r="I195" i="4" a="1"/>
  <c r="I195" i="4" s="1"/>
  <c r="I194" i="4" a="1"/>
  <c r="I194" i="4" s="1"/>
  <c r="G194" i="4"/>
  <c r="H194" i="4"/>
  <c r="I193" i="4" a="1"/>
  <c r="I193" i="4" s="1"/>
  <c r="H193" i="4"/>
  <c r="G192" i="4"/>
  <c r="H192" i="4"/>
  <c r="I192" i="4" a="1"/>
  <c r="I192" i="4" s="1"/>
  <c r="G191" i="4"/>
  <c r="H191" i="4"/>
  <c r="I191" i="4" a="1"/>
  <c r="I191" i="4" s="1"/>
  <c r="G190" i="4"/>
  <c r="H190" i="4"/>
  <c r="I190" i="4" a="1"/>
  <c r="I190" i="4" s="1"/>
  <c r="G189" i="4"/>
  <c r="H189" i="4"/>
  <c r="I189" i="4" a="1"/>
  <c r="I189" i="4" s="1"/>
  <c r="G188" i="4"/>
  <c r="H188" i="4"/>
  <c r="I188" i="4" a="1"/>
  <c r="I188" i="4" s="1"/>
  <c r="I187" i="4" a="1"/>
  <c r="I187" i="4" s="1"/>
  <c r="G187" i="4"/>
  <c r="H187" i="4"/>
  <c r="I186" i="4" a="1"/>
  <c r="I186" i="4" s="1"/>
  <c r="H186" i="4"/>
  <c r="G185" i="4"/>
  <c r="H185" i="4"/>
  <c r="I185" i="4" a="1"/>
  <c r="I185" i="4" s="1"/>
  <c r="I184" i="4" a="1"/>
  <c r="I184" i="4" s="1"/>
  <c r="G184" i="4"/>
  <c r="H184" i="4"/>
  <c r="I183" i="4" a="1"/>
  <c r="I183" i="4" s="1"/>
  <c r="G183" i="4"/>
  <c r="H183" i="4"/>
  <c r="I182" i="4" a="1"/>
  <c r="I182" i="4" s="1"/>
  <c r="G182" i="4"/>
  <c r="H182" i="4"/>
  <c r="I181" i="4" a="1"/>
  <c r="I181" i="4" s="1"/>
  <c r="G181" i="4"/>
  <c r="H181" i="4"/>
  <c r="G180" i="4"/>
  <c r="H180" i="4"/>
  <c r="I180" i="4" a="1"/>
  <c r="I180" i="4" s="1"/>
  <c r="G179" i="4"/>
  <c r="H179" i="4"/>
  <c r="I179" i="4" a="1"/>
  <c r="I179" i="4" s="1"/>
  <c r="I178" i="4" a="1"/>
  <c r="I178" i="4" s="1"/>
  <c r="G178" i="4"/>
  <c r="H178" i="4"/>
  <c r="G177" i="4"/>
  <c r="H177" i="4"/>
  <c r="I177" i="4" a="1"/>
  <c r="I177" i="4" s="1"/>
  <c r="G176" i="4"/>
  <c r="H176" i="4"/>
  <c r="I176" i="4" a="1"/>
  <c r="I176" i="4" s="1"/>
  <c r="G175" i="4"/>
  <c r="H175" i="4"/>
  <c r="I175" i="4" a="1"/>
  <c r="I175" i="4" s="1"/>
  <c r="G174" i="4"/>
  <c r="H174" i="4"/>
  <c r="I174" i="4" a="1"/>
  <c r="I174" i="4" s="1"/>
  <c r="I173" i="4" a="1"/>
  <c r="I173" i="4" s="1"/>
  <c r="G173" i="4"/>
  <c r="H173" i="4"/>
  <c r="I172" i="4" a="1"/>
  <c r="I172" i="4" s="1"/>
  <c r="G172" i="4"/>
  <c r="H172" i="4"/>
  <c r="G171" i="4"/>
  <c r="H171" i="4"/>
  <c r="I170" i="4" a="1"/>
  <c r="I170" i="4" s="1"/>
  <c r="I171" i="4" a="1"/>
  <c r="I171" i="4" s="1"/>
  <c r="G170" i="4"/>
  <c r="H170" i="4"/>
  <c r="G169" i="4"/>
  <c r="H169" i="4"/>
  <c r="I169" i="4" a="1"/>
  <c r="I169" i="4" s="1"/>
  <c r="I168" i="4" a="1"/>
  <c r="I168" i="4" s="1"/>
  <c r="G168" i="4"/>
  <c r="H168" i="4"/>
  <c r="G167" i="4"/>
  <c r="H167" i="4"/>
  <c r="I167" i="4" a="1"/>
  <c r="I167" i="4" s="1"/>
  <c r="H166" i="4"/>
  <c r="G166" i="4"/>
  <c r="I166" i="4" a="1"/>
  <c r="I166" i="4" s="1"/>
  <c r="G165" i="4"/>
  <c r="H165" i="4"/>
  <c r="I165" i="4" a="1"/>
  <c r="I165" i="4" s="1"/>
  <c r="I164" i="4" a="1"/>
  <c r="I164" i="4" s="1"/>
  <c r="H164" i="4"/>
  <c r="I163" i="4" a="1"/>
  <c r="I163" i="4" s="1"/>
  <c r="G163" i="4"/>
  <c r="H163" i="4"/>
  <c r="G162" i="4"/>
  <c r="H162" i="4"/>
  <c r="I162" i="4" a="1"/>
  <c r="I162" i="4" s="1"/>
  <c r="I161" i="4" a="1"/>
  <c r="I161" i="4" s="1"/>
  <c r="G161" i="4"/>
  <c r="H161" i="4"/>
  <c r="G160" i="4"/>
  <c r="H160" i="4"/>
  <c r="I160" i="4" a="1"/>
  <c r="I160" i="4" s="1"/>
  <c r="G159" i="4"/>
  <c r="H159" i="4"/>
  <c r="I159" i="4" a="1"/>
  <c r="I159" i="4" s="1"/>
  <c r="G158" i="4"/>
  <c r="H158" i="4"/>
  <c r="I158" i="4" a="1"/>
  <c r="I158" i="4" s="1"/>
  <c r="G157" i="4"/>
  <c r="H157" i="4"/>
  <c r="I157" i="4" a="1"/>
  <c r="I157" i="4" s="1"/>
  <c r="G156" i="4"/>
  <c r="H156" i="4"/>
  <c r="I156" i="4" a="1"/>
  <c r="I156" i="4" s="1"/>
  <c r="G155" i="4"/>
  <c r="H155" i="4"/>
  <c r="I155" i="4" a="1"/>
  <c r="I155" i="4" s="1"/>
  <c r="G154" i="4"/>
  <c r="H154" i="4"/>
  <c r="I154" i="4" a="1"/>
  <c r="I154" i="4" s="1"/>
  <c r="G153" i="4"/>
  <c r="H153" i="4"/>
  <c r="I153" i="4" a="1"/>
  <c r="I153" i="4" s="1"/>
  <c r="I152" i="4" a="1"/>
  <c r="I152" i="4" s="1"/>
  <c r="G152" i="4"/>
  <c r="H152" i="4"/>
  <c r="G151" i="4"/>
  <c r="H151" i="4"/>
  <c r="I151" i="4" a="1"/>
  <c r="I151" i="4" s="1"/>
  <c r="I150" i="4" a="1"/>
  <c r="I150" i="4" s="1"/>
  <c r="G150" i="4"/>
  <c r="H150" i="4"/>
  <c r="G149" i="4"/>
  <c r="H149" i="4"/>
  <c r="I149" i="4" a="1"/>
  <c r="I149" i="4" s="1"/>
  <c r="G148" i="4"/>
  <c r="H148" i="4"/>
  <c r="I148" i="4" a="1"/>
  <c r="I148" i="4" s="1"/>
  <c r="I147" i="4" a="1"/>
  <c r="I147" i="4" s="1"/>
  <c r="G147" i="4"/>
  <c r="H147" i="4"/>
  <c r="G146" i="4"/>
  <c r="H146" i="4"/>
  <c r="I146" i="4" a="1"/>
  <c r="I146" i="4" s="1"/>
  <c r="I145" i="4" a="1"/>
  <c r="I145" i="4" s="1"/>
  <c r="G145" i="4"/>
  <c r="H145" i="4"/>
  <c r="I144" i="4" a="1"/>
  <c r="I144" i="4" s="1"/>
  <c r="G144" i="4"/>
  <c r="H144" i="4"/>
  <c r="G143" i="4"/>
  <c r="H143" i="4"/>
  <c r="I143" i="4" a="1"/>
  <c r="I143" i="4" s="1"/>
  <c r="I142" i="4" a="1"/>
  <c r="I142" i="4" s="1"/>
  <c r="H142" i="4"/>
  <c r="G141" i="4"/>
  <c r="H141" i="4"/>
  <c r="I141" i="4" a="1"/>
  <c r="I141" i="4" s="1"/>
  <c r="I140" i="4" a="1"/>
  <c r="I140" i="4" s="1"/>
  <c r="G140" i="4"/>
  <c r="H140" i="4"/>
  <c r="I139" i="4" a="1"/>
  <c r="I139" i="4" s="1"/>
  <c r="G139" i="4"/>
  <c r="H139" i="4"/>
  <c r="I138" i="4" a="1"/>
  <c r="I138" i="4" s="1"/>
  <c r="G138" i="4"/>
  <c r="H138" i="4"/>
  <c r="I137" i="4" a="1"/>
  <c r="I137" i="4" s="1"/>
  <c r="G137" i="4"/>
  <c r="H137" i="4"/>
  <c r="G136" i="4"/>
  <c r="H136" i="4"/>
  <c r="I136" i="4" a="1"/>
  <c r="I136" i="4" s="1"/>
  <c r="I135" i="4" a="1"/>
  <c r="I135" i="4" s="1"/>
  <c r="G135" i="4"/>
  <c r="H135" i="4"/>
  <c r="I134" i="4" a="1"/>
  <c r="I134" i="4" s="1"/>
  <c r="G134" i="4"/>
  <c r="H134" i="4"/>
  <c r="I133" i="4" a="1"/>
  <c r="I133" i="4" s="1"/>
  <c r="H133" i="4"/>
  <c r="I131" i="4" a="1"/>
  <c r="I131" i="4" s="1"/>
  <c r="G132" i="4"/>
  <c r="H132" i="4"/>
  <c r="I132" i="4" a="1"/>
  <c r="I132" i="4" s="1"/>
  <c r="G131" i="4"/>
  <c r="H131" i="4"/>
  <c r="G130" i="4"/>
  <c r="H130" i="4"/>
  <c r="I130" i="4" a="1"/>
  <c r="I130" i="4" s="1"/>
  <c r="G129" i="4"/>
  <c r="H129" i="4"/>
  <c r="I129" i="4" a="1"/>
  <c r="I129" i="4" s="1"/>
  <c r="I128" i="4" a="1"/>
  <c r="I128" i="4" s="1"/>
  <c r="G128" i="4"/>
  <c r="H128" i="4"/>
  <c r="I127" i="4" a="1"/>
  <c r="I127" i="4" s="1"/>
  <c r="G127" i="4"/>
  <c r="H127" i="4"/>
  <c r="G126" i="4"/>
  <c r="H126" i="4"/>
  <c r="I126" i="4" a="1"/>
  <c r="I126" i="4" s="1"/>
  <c r="G125" i="4"/>
  <c r="H125" i="4"/>
  <c r="I125" i="4" a="1"/>
  <c r="I125" i="4" s="1"/>
  <c r="G124" i="4"/>
  <c r="H124" i="4"/>
  <c r="I124" i="4" a="1"/>
  <c r="I124" i="4" s="1"/>
  <c r="I123" i="4" a="1"/>
  <c r="I123" i="4" s="1"/>
  <c r="G123" i="4"/>
  <c r="H123" i="4"/>
  <c r="I122" i="4" a="1"/>
  <c r="I122" i="4" s="1"/>
  <c r="G122" i="4"/>
  <c r="H122" i="4"/>
  <c r="G121" i="4"/>
  <c r="H121" i="4"/>
  <c r="I121" i="4" a="1"/>
  <c r="I121" i="4" s="1"/>
  <c r="I120" i="4" a="1"/>
  <c r="I120" i="4" s="1"/>
  <c r="G120" i="4"/>
  <c r="H120" i="4"/>
  <c r="I119" i="4" a="1"/>
  <c r="I119" i="4" s="1"/>
  <c r="G119" i="4"/>
  <c r="H119" i="4"/>
  <c r="G118" i="4"/>
  <c r="H118" i="4"/>
  <c r="I118" i="4" a="1"/>
  <c r="I118" i="4" s="1"/>
  <c r="I117" i="4" a="1"/>
  <c r="I117" i="4" s="1"/>
  <c r="G117" i="4"/>
  <c r="H117" i="4"/>
  <c r="I116" i="4" a="1"/>
  <c r="I116" i="4" s="1"/>
  <c r="G116" i="4"/>
  <c r="H116" i="4"/>
  <c r="I115" i="4" a="1"/>
  <c r="I115" i="4" s="1"/>
  <c r="G115" i="4"/>
  <c r="H115" i="4"/>
  <c r="I114" i="4" a="1"/>
  <c r="I114" i="4" s="1"/>
  <c r="G114" i="4"/>
  <c r="H114" i="4"/>
  <c r="G113" i="4"/>
  <c r="H113" i="4"/>
  <c r="I113" i="4" a="1"/>
  <c r="I113" i="4" s="1"/>
  <c r="I112" i="4" a="1"/>
  <c r="I112" i="4" s="1"/>
  <c r="H112" i="4"/>
  <c r="G111" i="4"/>
  <c r="H111" i="4"/>
  <c r="I111" i="4" a="1"/>
  <c r="I111" i="4" s="1"/>
  <c r="I110" i="4" a="1"/>
  <c r="I110" i="4" s="1"/>
  <c r="G110" i="4"/>
  <c r="H110" i="4"/>
  <c r="H109" i="4"/>
  <c r="G109" i="4"/>
  <c r="I109" i="4" a="1"/>
  <c r="I109" i="4" s="1"/>
  <c r="G108" i="4"/>
  <c r="H108" i="4"/>
  <c r="I108" i="4" a="1"/>
  <c r="I108" i="4" s="1"/>
  <c r="I107" i="4" a="1"/>
  <c r="I107" i="4" s="1"/>
  <c r="H107" i="4"/>
  <c r="I106" i="4" a="1"/>
  <c r="I106" i="4" s="1"/>
  <c r="H106" i="4"/>
  <c r="G105" i="4"/>
  <c r="H105" i="4"/>
  <c r="I105" i="4" a="1"/>
  <c r="I105" i="4" s="1"/>
  <c r="I104" i="4" a="1"/>
  <c r="I104" i="4" s="1"/>
  <c r="H104" i="4"/>
  <c r="G103" i="4"/>
  <c r="H103" i="4"/>
  <c r="I103" i="4" a="1"/>
  <c r="I103" i="4" s="1"/>
  <c r="I102" i="4" a="1"/>
  <c r="I102" i="4" s="1"/>
  <c r="G102" i="4"/>
  <c r="H102" i="4"/>
  <c r="I101" i="4" a="1"/>
  <c r="I101" i="4" s="1"/>
  <c r="G101" i="4"/>
  <c r="H101" i="4"/>
  <c r="G100" i="4"/>
  <c r="H100" i="4"/>
  <c r="I100" i="4" a="1"/>
  <c r="I100" i="4" s="1"/>
  <c r="I99" i="4" a="1"/>
  <c r="I99" i="4" s="1"/>
  <c r="G99" i="4"/>
  <c r="H99" i="4"/>
  <c r="I98" i="4" a="1"/>
  <c r="I98" i="4" s="1"/>
  <c r="G98" i="4"/>
  <c r="H98" i="4"/>
  <c r="I97" i="4" a="1"/>
  <c r="I97" i="4" s="1"/>
  <c r="G97" i="4"/>
  <c r="H97" i="4"/>
  <c r="G96" i="4"/>
  <c r="H96" i="4"/>
  <c r="I96" i="4" a="1"/>
  <c r="I96" i="4" s="1"/>
  <c r="G95" i="4"/>
  <c r="H95" i="4"/>
  <c r="I95" i="4" a="1"/>
  <c r="I95" i="4" s="1"/>
  <c r="I94" i="4" a="1"/>
  <c r="I94" i="4" s="1"/>
  <c r="G94" i="4"/>
  <c r="H94" i="4"/>
  <c r="I93" i="4" a="1"/>
  <c r="I93" i="4" s="1"/>
  <c r="G93" i="4"/>
  <c r="H93" i="4"/>
  <c r="G92" i="4"/>
  <c r="H92" i="4"/>
  <c r="I92" i="4" a="1"/>
  <c r="I92" i="4" s="1"/>
  <c r="G91" i="4"/>
  <c r="H91" i="4"/>
  <c r="I91" i="4" a="1"/>
  <c r="I91" i="4" s="1"/>
  <c r="I90" i="4" a="1"/>
  <c r="I90" i="4" s="1"/>
  <c r="H90" i="4"/>
  <c r="I89" i="4" a="1"/>
  <c r="I89" i="4" s="1"/>
  <c r="G89" i="4"/>
  <c r="H89" i="4"/>
  <c r="I88" i="4" a="1"/>
  <c r="I88" i="4" s="1"/>
  <c r="G88" i="4"/>
  <c r="H88" i="4"/>
  <c r="G87" i="4"/>
  <c r="H87" i="4"/>
  <c r="I87" i="4" a="1"/>
  <c r="I87" i="4" s="1"/>
  <c r="G86" i="4"/>
  <c r="H86" i="4"/>
  <c r="I86" i="4" a="1"/>
  <c r="I86" i="4" s="1"/>
  <c r="G85" i="4"/>
  <c r="H85" i="4"/>
  <c r="I85" i="4" a="1"/>
  <c r="I85" i="4" s="1"/>
  <c r="G84" i="4"/>
  <c r="I84" i="4" a="1"/>
  <c r="I84" i="4" s="1"/>
  <c r="H84" i="4"/>
  <c r="I83" i="4" a="1"/>
  <c r="I83" i="4" s="1"/>
  <c r="G83" i="4"/>
  <c r="H83" i="4"/>
  <c r="G82" i="4"/>
  <c r="H82" i="4"/>
  <c r="I82" i="4" a="1"/>
  <c r="I82" i="4" s="1"/>
  <c r="I81" i="4" a="1"/>
  <c r="I81" i="4" s="1"/>
  <c r="G81" i="4"/>
  <c r="H81" i="4"/>
  <c r="G80" i="4"/>
  <c r="H80" i="4"/>
  <c r="I80" i="4" a="1"/>
  <c r="I80" i="4" s="1"/>
  <c r="I79" i="4" a="1"/>
  <c r="I79" i="4" s="1"/>
  <c r="H79" i="4"/>
  <c r="I78" i="4" a="1"/>
  <c r="I78" i="4" s="1"/>
  <c r="G78" i="4"/>
  <c r="H78" i="4"/>
  <c r="G77" i="4"/>
  <c r="H77" i="4"/>
  <c r="I77" i="4" a="1"/>
  <c r="I77" i="4" s="1"/>
  <c r="I76" i="4" a="1"/>
  <c r="I76" i="4" s="1"/>
  <c r="H76" i="4"/>
  <c r="I75" i="4" a="1"/>
  <c r="I75" i="4" s="1"/>
  <c r="H75" i="4"/>
  <c r="G74" i="4"/>
  <c r="H74" i="4"/>
  <c r="I74" i="4" a="1"/>
  <c r="I74" i="4" s="1"/>
  <c r="I73" i="4" a="1"/>
  <c r="I73" i="4" s="1"/>
  <c r="G73" i="4"/>
  <c r="H73" i="4"/>
  <c r="I72" i="4" a="1"/>
  <c r="I72" i="4" s="1"/>
  <c r="G72" i="4"/>
  <c r="H72" i="4"/>
  <c r="I71" i="4" a="1"/>
  <c r="I71" i="4" s="1"/>
  <c r="G71" i="4"/>
  <c r="H71" i="4"/>
  <c r="I70" i="4" a="1"/>
  <c r="I70" i="4" s="1"/>
  <c r="G70" i="4"/>
  <c r="H70" i="4"/>
  <c r="G69" i="4"/>
  <c r="H69" i="4"/>
  <c r="I69" i="4" a="1"/>
  <c r="I69" i="4" s="1"/>
  <c r="I68" i="4" a="1"/>
  <c r="I68" i="4" s="1"/>
  <c r="G68" i="4"/>
  <c r="H68" i="4"/>
  <c r="I67" i="4" a="1"/>
  <c r="I67" i="4" s="1"/>
  <c r="G67" i="4"/>
  <c r="H67" i="4"/>
  <c r="I66" i="4" a="1"/>
  <c r="I66" i="4" s="1"/>
  <c r="H66" i="4"/>
  <c r="I65" i="4" a="1"/>
  <c r="I65" i="4" s="1"/>
  <c r="H65" i="4"/>
  <c r="I64" i="4" a="1"/>
  <c r="I64" i="4" s="1"/>
  <c r="G64" i="4"/>
  <c r="H64" i="4"/>
  <c r="G63" i="4"/>
  <c r="H63" i="4"/>
  <c r="I63" i="4" a="1"/>
  <c r="I63" i="4" s="1"/>
  <c r="I62" i="4" a="1"/>
  <c r="I62" i="4" s="1"/>
  <c r="G62" i="4"/>
  <c r="H62" i="4"/>
  <c r="I61" i="4" a="1"/>
  <c r="I61" i="4" s="1"/>
  <c r="G61" i="4"/>
  <c r="H61" i="4"/>
  <c r="I60" i="4" a="1"/>
  <c r="I60" i="4" s="1"/>
  <c r="G60" i="4"/>
  <c r="H60" i="4"/>
  <c r="I59" i="4" a="1"/>
  <c r="I59" i="4" s="1"/>
  <c r="G59" i="4"/>
  <c r="H59" i="4"/>
  <c r="I58" i="4" a="1"/>
  <c r="I58" i="4" s="1"/>
  <c r="G58" i="4"/>
  <c r="H58" i="4"/>
  <c r="I56" i="4" a="1"/>
  <c r="I56" i="4" s="1"/>
  <c r="G57" i="4"/>
  <c r="H57" i="4"/>
  <c r="I57" i="4" a="1"/>
  <c r="I57" i="4" s="1"/>
  <c r="H56" i="4"/>
  <c r="G55" i="4"/>
  <c r="H55" i="4"/>
  <c r="I55" i="4" a="1"/>
  <c r="I55" i="4" s="1"/>
  <c r="I54" i="4" a="1"/>
  <c r="I54" i="4" s="1"/>
  <c r="G54" i="4"/>
  <c r="H54" i="4"/>
  <c r="G53" i="4"/>
  <c r="H53" i="4"/>
  <c r="I53" i="4" a="1"/>
  <c r="I53" i="4" s="1"/>
  <c r="I52" i="4" a="1"/>
  <c r="I52" i="4" s="1"/>
  <c r="G52" i="4"/>
  <c r="H52" i="4"/>
  <c r="I51" i="4" a="1"/>
  <c r="I51" i="4" s="1"/>
  <c r="G51" i="4"/>
  <c r="H51" i="4"/>
  <c r="I50" i="4" a="1"/>
  <c r="I50" i="4" s="1"/>
  <c r="G50" i="4"/>
  <c r="H50" i="4"/>
  <c r="I49" i="4" a="1"/>
  <c r="I49" i="4" s="1"/>
  <c r="G49" i="4"/>
  <c r="H49" i="4"/>
  <c r="I48" i="4" a="1"/>
  <c r="I48" i="4" s="1"/>
  <c r="G48" i="4"/>
  <c r="H48" i="4"/>
  <c r="I47" i="4" a="1"/>
  <c r="I47" i="4" s="1"/>
  <c r="G47" i="4"/>
  <c r="H47" i="4"/>
  <c r="G46" i="4"/>
  <c r="H46" i="4"/>
  <c r="I46" i="4" a="1"/>
  <c r="I46" i="4" s="1"/>
  <c r="G45" i="4"/>
  <c r="I45" i="4" a="1"/>
  <c r="I45" i="4" s="1"/>
  <c r="H45" i="4"/>
  <c r="G44" i="4"/>
  <c r="H44" i="4"/>
  <c r="I44" i="4" a="1"/>
  <c r="I44" i="4" s="1"/>
  <c r="G43" i="4"/>
  <c r="H43" i="4"/>
  <c r="I43" i="4" a="1"/>
  <c r="I43" i="4" s="1"/>
  <c r="G42" i="4"/>
  <c r="H42" i="4"/>
  <c r="I42" i="4" a="1"/>
  <c r="I42" i="4" s="1"/>
  <c r="I41" i="4" a="1"/>
  <c r="I41" i="4" s="1"/>
  <c r="H41" i="4"/>
  <c r="I40" i="4" a="1"/>
  <c r="I40" i="4" s="1"/>
  <c r="H40" i="4"/>
  <c r="I39" i="4" a="1"/>
  <c r="I39" i="4" s="1"/>
  <c r="G39" i="4"/>
  <c r="H39" i="4"/>
  <c r="I38" i="4" a="1"/>
  <c r="I38" i="4" s="1"/>
  <c r="G38" i="4"/>
  <c r="H38" i="4"/>
  <c r="G37" i="4"/>
  <c r="H37" i="4"/>
  <c r="I37" i="4" a="1"/>
  <c r="I37" i="4" s="1"/>
  <c r="G36" i="4"/>
  <c r="H36" i="4"/>
  <c r="I36" i="4" a="1"/>
  <c r="I36" i="4" s="1"/>
  <c r="I35" i="4" a="1"/>
  <c r="I35" i="4" s="1"/>
  <c r="H35" i="4"/>
  <c r="G34" i="4"/>
  <c r="H34" i="4"/>
  <c r="I34" i="4" a="1"/>
  <c r="I34" i="4" s="1"/>
  <c r="I33" i="4" a="1"/>
  <c r="I33" i="4" s="1"/>
  <c r="G33" i="4"/>
  <c r="H33" i="4"/>
  <c r="I32" i="4" a="1"/>
  <c r="I32" i="4" s="1"/>
  <c r="H32" i="4"/>
  <c r="I31" i="4" a="1"/>
  <c r="I31" i="4" s="1"/>
  <c r="G31" i="4"/>
  <c r="H31" i="4"/>
  <c r="G30" i="4"/>
  <c r="H30" i="4"/>
  <c r="I30" i="4" a="1"/>
  <c r="I30" i="4" s="1"/>
  <c r="G29" i="4"/>
  <c r="H29" i="4"/>
  <c r="I29" i="4" a="1"/>
  <c r="I29" i="4" s="1"/>
  <c r="I28" i="4" a="1"/>
  <c r="I28" i="4" s="1"/>
  <c r="G28" i="4"/>
  <c r="H28" i="4"/>
  <c r="I27" i="4" a="1"/>
  <c r="I27" i="4" s="1"/>
  <c r="H27" i="4"/>
  <c r="G27" i="4"/>
  <c r="I26" i="4" a="1"/>
  <c r="I26" i="4" s="1"/>
  <c r="H26" i="4"/>
  <c r="I24" i="4" a="1"/>
  <c r="I24" i="4" s="1"/>
  <c r="G25" i="4"/>
  <c r="H25" i="4"/>
  <c r="I25" i="4" a="1"/>
  <c r="I25" i="4" s="1"/>
  <c r="H24" i="4"/>
  <c r="I23" i="4" a="1"/>
  <c r="I23" i="4" s="1"/>
  <c r="G23" i="4"/>
  <c r="H23" i="4"/>
  <c r="G22" i="4"/>
  <c r="H22" i="4"/>
  <c r="I22" i="4" a="1"/>
  <c r="I22" i="4" s="1"/>
  <c r="I21" i="4" a="1"/>
  <c r="I21" i="4" s="1"/>
  <c r="H21" i="4"/>
  <c r="G21" i="4"/>
  <c r="I20" i="4" a="1"/>
  <c r="I20" i="4" s="1"/>
  <c r="H20" i="4"/>
  <c r="I19" i="4" a="1"/>
  <c r="I19" i="4" s="1"/>
  <c r="H19" i="4"/>
  <c r="G19" i="4"/>
  <c r="G17" i="4"/>
  <c r="H17" i="4"/>
  <c r="G18" i="4"/>
  <c r="H18" i="4"/>
  <c r="I18" i="4" a="1"/>
  <c r="I18" i="4" s="1"/>
  <c r="I17" i="4" a="1"/>
  <c r="I17" i="4" s="1"/>
  <c r="I14" i="4" a="1"/>
  <c r="I14" i="4" s="1"/>
  <c r="I16" i="4" a="1"/>
  <c r="I16" i="4" s="1"/>
  <c r="G16" i="4"/>
  <c r="H16" i="4"/>
  <c r="I15" i="4" a="1"/>
  <c r="I15" i="4" s="1"/>
  <c r="G15" i="4"/>
  <c r="H15" i="4"/>
  <c r="G14" i="4"/>
  <c r="H14" i="4"/>
  <c r="I13" i="4" a="1"/>
  <c r="I13" i="4" s="1"/>
  <c r="G13" i="4"/>
  <c r="H13" i="4"/>
  <c r="I12" i="4" a="1"/>
  <c r="I12" i="4" s="1"/>
  <c r="G12" i="4"/>
  <c r="H12" i="4"/>
  <c r="I11" i="4" a="1"/>
  <c r="I11" i="4" s="1"/>
  <c r="G11" i="4"/>
  <c r="H11" i="4"/>
  <c r="I10" i="4" a="1"/>
  <c r="I10" i="4" s="1"/>
  <c r="G10" i="4"/>
  <c r="H10" i="4"/>
  <c r="I9" i="4" a="1"/>
  <c r="I9" i="4" s="1"/>
  <c r="G9" i="4"/>
  <c r="H9" i="4"/>
  <c r="G8" i="4"/>
  <c r="H8" i="4"/>
  <c r="I8" i="4" a="1"/>
  <c r="I8" i="4" s="1"/>
  <c r="G7" i="4"/>
  <c r="H7" i="4"/>
  <c r="I7" i="4" a="1"/>
  <c r="I7" i="4" s="1"/>
  <c r="H6" i="4"/>
  <c r="G6" i="4"/>
  <c r="I3" i="4" a="1"/>
  <c r="I3" i="4" s="1"/>
  <c r="I6" i="4" a="1"/>
  <c r="I6" i="4" s="1"/>
  <c r="I5" i="4" a="1"/>
  <c r="I5" i="4" s="1"/>
  <c r="G5" i="4"/>
  <c r="H5" i="4"/>
  <c r="I4" i="4" a="1"/>
  <c r="I4" i="4" s="1"/>
  <c r="G4" i="4"/>
  <c r="H4" i="4"/>
  <c r="H3" i="4"/>
  <c r="I2" i="4" a="1"/>
  <c r="I2" i="4" s="1"/>
  <c r="H2" i="4"/>
  <c r="B2" i="5"/>
  <c r="B3" i="5"/>
  <c r="G2" i="5" a="1"/>
  <c r="G2" i="5" s="1"/>
  <c r="F2" i="5" s="1" a="1"/>
  <c r="F2" i="5" s="1"/>
  <c r="K2" i="5" l="1" a="1"/>
  <c r="K2" i="5" s="1"/>
  <c r="J2" i="5" s="1" a="1"/>
  <c r="J2" i="5" s="1"/>
  <c r="B4" i="5"/>
  <c r="B8" i="5" l="1"/>
  <c r="C2" i="5" a="1"/>
  <c r="C2" i="5" s="1"/>
  <c r="B10" i="5"/>
  <c r="C8" i="5" l="1" a="1"/>
  <c r="C8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<sst xmlns="http://schemas.openxmlformats.org/spreadsheetml/2006/main" count="1708" uniqueCount="591">
  <si>
    <t>ID</t>
  </si>
  <si>
    <t>Processo</t>
  </si>
  <si>
    <t>Status</t>
  </si>
  <si>
    <t>Valor do Processo</t>
  </si>
  <si>
    <t>Nome do arquivo</t>
  </si>
  <si>
    <t>Data</t>
  </si>
  <si>
    <t>numero de linhas</t>
  </si>
  <si>
    <t>célula de inclusão</t>
  </si>
  <si>
    <t>Caminho do arquivo adicionado</t>
  </si>
  <si>
    <t>0000001-01.2021.8.26.0001</t>
  </si>
  <si>
    <t>Ativo</t>
  </si>
  <si>
    <t>Encerrado</t>
  </si>
  <si>
    <t>0000002-01.2021.8.26.0001</t>
  </si>
  <si>
    <t>0000003-01.2021.8.26.0001</t>
  </si>
  <si>
    <t>0000004-01.2021.8.26.0001</t>
  </si>
  <si>
    <t>0000005-01.2021.8.26.0001</t>
  </si>
  <si>
    <t>0000006-01.2021.8.26.0001</t>
  </si>
  <si>
    <t>0000007-01.2021.8.26.0001</t>
  </si>
  <si>
    <t>0000008-01.2021.8.26.0001</t>
  </si>
  <si>
    <t>0000009-01.2021.8.26.0001</t>
  </si>
  <si>
    <t>0000010-01.2021.8.26.0001</t>
  </si>
  <si>
    <t>0000011-01.2021.8.26.0001</t>
  </si>
  <si>
    <t>0000012-01.2021.8.26.0001</t>
  </si>
  <si>
    <t>0000013-01.2021.8.26.0001</t>
  </si>
  <si>
    <t>0000014-01.2021.8.26.0001</t>
  </si>
  <si>
    <t>0000015-01.2021.8.26.0001</t>
  </si>
  <si>
    <t>0000016-01.2021.8.26.0001</t>
  </si>
  <si>
    <t>0000017-01.2021.8.26.0001</t>
  </si>
  <si>
    <t>0000018-01.2021.8.26.0001</t>
  </si>
  <si>
    <t>0000019-01.2021.8.26.0001</t>
  </si>
  <si>
    <t>0000020-01.2021.8.26.0001</t>
  </si>
  <si>
    <t>0000021-01.2021.8.26.0001</t>
  </si>
  <si>
    <t>0000022-01.2021.8.26.0001</t>
  </si>
  <si>
    <t>0000023-01.2021.8.26.0001</t>
  </si>
  <si>
    <t>0000024-01.2021.8.26.0001</t>
  </si>
  <si>
    <t>0000025-01.2021.8.26.0001</t>
  </si>
  <si>
    <t>0000026-01.2021.8.26.0001</t>
  </si>
  <si>
    <t>0000027-01.2021.8.26.0001</t>
  </si>
  <si>
    <t>0000028-01.2021.8.26.0001</t>
  </si>
  <si>
    <t>0000029-01.2021.8.26.0001</t>
  </si>
  <si>
    <t>0000030-01.2021.8.26.0001</t>
  </si>
  <si>
    <t>0000031-01.2021.8.26.0001</t>
  </si>
  <si>
    <t>0000032-01.2021.8.26.0001</t>
  </si>
  <si>
    <t>0000033-01.2021.8.26.0001</t>
  </si>
  <si>
    <t>0000034-01.2021.8.26.0001</t>
  </si>
  <si>
    <t>0000035-01.2021.8.26.0001</t>
  </si>
  <si>
    <t>0000036-01.2021.8.26.0001</t>
  </si>
  <si>
    <t>0000037-01.2021.8.26.0001</t>
  </si>
  <si>
    <t>0000038-01.2021.8.26.0001</t>
  </si>
  <si>
    <t>0000039-01.2021.8.26.0001</t>
  </si>
  <si>
    <t>0000040-01.2021.8.26.0001</t>
  </si>
  <si>
    <t>0000041-01.2021.8.26.0001</t>
  </si>
  <si>
    <t>0000042-01.2021.8.26.0001</t>
  </si>
  <si>
    <t>0000043-01.2021.8.26.0001</t>
  </si>
  <si>
    <t>0000044-01.2021.8.26.0001</t>
  </si>
  <si>
    <t>0000045-01.2021.8.26.0001</t>
  </si>
  <si>
    <t>0000046-01.2021.8.26.0001</t>
  </si>
  <si>
    <t>0000047-01.2021.8.26.0001</t>
  </si>
  <si>
    <t>0000048-01.2021.8.26.0001</t>
  </si>
  <si>
    <t>0000049-01.2021.8.26.0001</t>
  </si>
  <si>
    <t>0000050-01.2021.8.26.0001</t>
  </si>
  <si>
    <t>0000051-01.2021.8.26.0001</t>
  </si>
  <si>
    <t>0000052-01.2021.8.26.0001</t>
  </si>
  <si>
    <t>0000053-01.2021.8.26.0001</t>
  </si>
  <si>
    <t>0000054-01.2021.8.26.0001</t>
  </si>
  <si>
    <t>0000055-01.2021.8.26.0001</t>
  </si>
  <si>
    <t>0000056-01.2021.8.26.0001</t>
  </si>
  <si>
    <t>0000057-01.2021.8.26.0001</t>
  </si>
  <si>
    <t>0000058-01.2021.8.26.0001</t>
  </si>
  <si>
    <t>0000059-01.2021.8.26.0001</t>
  </si>
  <si>
    <t>0000060-01.2021.8.26.0001</t>
  </si>
  <si>
    <t>0000061-01.2021.8.26.0001</t>
  </si>
  <si>
    <t>0000062-01.2021.8.26.0001</t>
  </si>
  <si>
    <t>0000063-01.2021.8.26.0001</t>
  </si>
  <si>
    <t>0000064-01.2021.8.26.0001</t>
  </si>
  <si>
    <t>0000065-01.2021.8.26.0001</t>
  </si>
  <si>
    <t>0000066-01.2021.8.26.0001</t>
  </si>
  <si>
    <t>0000067-01.2021.8.26.0001</t>
  </si>
  <si>
    <t>0000068-01.2021.8.26.0001</t>
  </si>
  <si>
    <t>0000069-01.2021.8.26.0001</t>
  </si>
  <si>
    <t>0000070-01.2021.8.26.0001</t>
  </si>
  <si>
    <t>0000071-01.2021.8.26.0001</t>
  </si>
  <si>
    <t>0000072-01.2021.8.26.0001</t>
  </si>
  <si>
    <t>0000073-01.2021.8.26.0001</t>
  </si>
  <si>
    <t>0000074-01.2021.8.26.0001</t>
  </si>
  <si>
    <t>0000075-01.2021.8.26.0001</t>
  </si>
  <si>
    <t>0000076-01.2021.8.26.0001</t>
  </si>
  <si>
    <t>0000077-01.2021.8.26.0001</t>
  </si>
  <si>
    <t>0000078-01.2021.8.26.0001</t>
  </si>
  <si>
    <t>0000079-01.2021.8.26.0001</t>
  </si>
  <si>
    <t>0000080-01.2021.8.26.0001</t>
  </si>
  <si>
    <t>0000081-01.2021.8.26.0001</t>
  </si>
  <si>
    <t>0000082-01.2021.8.26.0001</t>
  </si>
  <si>
    <t>0000083-01.2021.8.26.0001</t>
  </si>
  <si>
    <t>0000084-01.2021.8.26.0001</t>
  </si>
  <si>
    <t>0000085-01.2021.8.26.0001</t>
  </si>
  <si>
    <t>0000086-01.2021.8.26.0001</t>
  </si>
  <si>
    <t>0000087-01.2021.8.26.0001</t>
  </si>
  <si>
    <t>0000088-01.2021.8.26.0001</t>
  </si>
  <si>
    <t>0000089-01.2021.8.26.0001</t>
  </si>
  <si>
    <t>0000090-01.2021.8.26.0001</t>
  </si>
  <si>
    <t>0000091-01.2021.8.26.0001</t>
  </si>
  <si>
    <t>0000092-01.2021.8.26.0001</t>
  </si>
  <si>
    <t>0000093-01.2021.8.26.0001</t>
  </si>
  <si>
    <t>0000094-01.2021.8.26.0001</t>
  </si>
  <si>
    <t>0000095-01.2021.8.26.0001</t>
  </si>
  <si>
    <t>0000096-01.2021.8.26.0001</t>
  </si>
  <si>
    <t>0000097-01.2021.8.26.0001</t>
  </si>
  <si>
    <t>0000098-01.2021.8.26.0001</t>
  </si>
  <si>
    <t>0000099-01.2021.8.26.0001</t>
  </si>
  <si>
    <t>0000100-01.2021.8.26.0001</t>
  </si>
  <si>
    <t>0000101-01.2021.8.26.0001</t>
  </si>
  <si>
    <t>0000102-01.2021.8.26.0001</t>
  </si>
  <si>
    <t>0000103-01.2021.8.26.0001</t>
  </si>
  <si>
    <t>0000104-01.2021.8.26.0001</t>
  </si>
  <si>
    <t>0000105-01.2021.8.26.0001</t>
  </si>
  <si>
    <t>0000106-01.2021.8.26.0001</t>
  </si>
  <si>
    <t>0000107-01.2021.8.26.0001</t>
  </si>
  <si>
    <t>0000108-01.2021.8.26.0001</t>
  </si>
  <si>
    <t>0000109-01.2021.8.26.0001</t>
  </si>
  <si>
    <t>0000110-01.2021.8.26.0001</t>
  </si>
  <si>
    <t>0000111-01.2021.8.26.0001</t>
  </si>
  <si>
    <t>0000112-01.2021.8.26.0001</t>
  </si>
  <si>
    <t>0000113-01.2021.8.26.0001</t>
  </si>
  <si>
    <t>0000114-01.2021.8.26.0001</t>
  </si>
  <si>
    <t>0000115-01.2021.8.26.0001</t>
  </si>
  <si>
    <t>0000116-01.2021.8.26.0001</t>
  </si>
  <si>
    <t>0000117-01.2021.8.26.0001</t>
  </si>
  <si>
    <t>0000118-01.2021.8.26.0001</t>
  </si>
  <si>
    <t>0000119-01.2021.8.26.0001</t>
  </si>
  <si>
    <t>0000120-01.2021.8.26.0001</t>
  </si>
  <si>
    <t>0000121-01.2021.8.26.0001</t>
  </si>
  <si>
    <t>0000122-01.2021.8.26.0001</t>
  </si>
  <si>
    <t>0000123-01.2021.8.26.0001</t>
  </si>
  <si>
    <t>0000124-01.2021.8.26.0001</t>
  </si>
  <si>
    <t>0000125-01.2021.8.26.0001</t>
  </si>
  <si>
    <t>0000126-01.2021.8.26.0001</t>
  </si>
  <si>
    <t>0000127-01.2021.8.26.0001</t>
  </si>
  <si>
    <t>0000128-01.2021.8.26.0001</t>
  </si>
  <si>
    <t>0000129-01.2021.8.26.0001</t>
  </si>
  <si>
    <t>0000130-01.2021.8.26.0001</t>
  </si>
  <si>
    <t>0000131-01.2021.8.26.0001</t>
  </si>
  <si>
    <t>0000132-01.2021.8.26.0001</t>
  </si>
  <si>
    <t>0000133-01.2021.8.26.0001</t>
  </si>
  <si>
    <t>0000134-01.2021.8.26.0001</t>
  </si>
  <si>
    <t>0000135-01.2021.8.26.0001</t>
  </si>
  <si>
    <t>0000136-01.2021.8.26.0001</t>
  </si>
  <si>
    <t>0000137-01.2021.8.26.0001</t>
  </si>
  <si>
    <t>0000138-01.2021.8.26.0001</t>
  </si>
  <si>
    <t>0000139-01.2021.8.26.0001</t>
  </si>
  <si>
    <t>0000140-01.2021.8.26.0001</t>
  </si>
  <si>
    <t>0000141-01.2021.8.26.0001</t>
  </si>
  <si>
    <t>0000142-01.2021.8.26.0001</t>
  </si>
  <si>
    <t>0000143-01.2021.8.26.0001</t>
  </si>
  <si>
    <t>0000144-01.2021.8.26.0001</t>
  </si>
  <si>
    <t>0000145-01.2021.8.26.0001</t>
  </si>
  <si>
    <t>0000146-01.2021.8.26.0001</t>
  </si>
  <si>
    <t>0000147-01.2021.8.26.0001</t>
  </si>
  <si>
    <t>0000148-01.2021.8.26.0001</t>
  </si>
  <si>
    <t>0000149-01.2021.8.26.0001</t>
  </si>
  <si>
    <t>0000150-01.2021.8.26.0001</t>
  </si>
  <si>
    <t>0000151-01.2021.8.26.0001</t>
  </si>
  <si>
    <t>0000152-01.2021.8.26.0001</t>
  </si>
  <si>
    <t>0000153-01.2021.8.26.0001</t>
  </si>
  <si>
    <t>0000154-01.2021.8.26.0001</t>
  </si>
  <si>
    <t>0000155-01.2021.8.26.0001</t>
  </si>
  <si>
    <t>0000156-01.2021.8.26.0001</t>
  </si>
  <si>
    <t>0000157-01.2021.8.26.0001</t>
  </si>
  <si>
    <t>0000158-01.2021.8.26.0001</t>
  </si>
  <si>
    <t>0000159-01.2021.8.26.0001</t>
  </si>
  <si>
    <t>0000160-01.2021.8.26.0001</t>
  </si>
  <si>
    <t>0000161-01.2021.8.26.0001</t>
  </si>
  <si>
    <t>0000162-01.2021.8.26.0001</t>
  </si>
  <si>
    <t>0000163-01.2021.8.26.0001</t>
  </si>
  <si>
    <t>0000164-01.2021.8.26.0001</t>
  </si>
  <si>
    <t>0000165-01.2021.8.26.0001</t>
  </si>
  <si>
    <t>0000166-01.2021.8.26.0001</t>
  </si>
  <si>
    <t>0000167-01.2021.8.26.0001</t>
  </si>
  <si>
    <t>0000168-01.2021.8.26.0001</t>
  </si>
  <si>
    <t>0000169-01.2021.8.26.0001</t>
  </si>
  <si>
    <t>0000170-01.2021.8.26.0001</t>
  </si>
  <si>
    <t>0000171-01.2021.8.26.0001</t>
  </si>
  <si>
    <t>0000172-01.2021.8.26.0001</t>
  </si>
  <si>
    <t>0000173-01.2021.8.26.0001</t>
  </si>
  <si>
    <t>0000174-01.2021.8.26.0001</t>
  </si>
  <si>
    <t>0000175-01.2021.8.26.0001</t>
  </si>
  <si>
    <t>0000176-01.2021.8.26.0001</t>
  </si>
  <si>
    <t>0000177-01.2021.8.26.0001</t>
  </si>
  <si>
    <t>0000178-01.2021.8.26.0001</t>
  </si>
  <si>
    <t>0000179-01.2021.8.26.0001</t>
  </si>
  <si>
    <t>0000180-01.2021.8.26.0001</t>
  </si>
  <si>
    <t>0000181-01.2021.8.26.0001</t>
  </si>
  <si>
    <t>0000182-01.2021.8.26.0001</t>
  </si>
  <si>
    <t>0000183-01.2021.8.26.0001</t>
  </si>
  <si>
    <t>0000184-01.2021.8.26.0001</t>
  </si>
  <si>
    <t>0000185-01.2021.8.26.0001</t>
  </si>
  <si>
    <t>0000186-01.2021.8.26.0001</t>
  </si>
  <si>
    <t>0000187-01.2021.8.26.0001</t>
  </si>
  <si>
    <t>0000188-01.2021.8.26.0001</t>
  </si>
  <si>
    <t>0000189-01.2021.8.26.0001</t>
  </si>
  <si>
    <t>0000190-01.2021.8.26.0001</t>
  </si>
  <si>
    <t>0000191-01.2021.8.26.0001</t>
  </si>
  <si>
    <t>0000192-01.2021.8.26.0001</t>
  </si>
  <si>
    <t>0000193-01.2021.8.26.0001</t>
  </si>
  <si>
    <t>0000194-01.2021.8.26.0001</t>
  </si>
  <si>
    <t>0000195-01.2021.8.26.0001</t>
  </si>
  <si>
    <t>0000196-01.2021.8.26.0001</t>
  </si>
  <si>
    <t>0000197-01.2021.8.26.0001</t>
  </si>
  <si>
    <t>0000198-01.2021.8.26.0001</t>
  </si>
  <si>
    <t>0000199-01.2021.8.26.0001</t>
  </si>
  <si>
    <t>0000200-01.2021.8.26.0001</t>
  </si>
  <si>
    <t>0000201-01.2021.8.26.0001</t>
  </si>
  <si>
    <t>0000202-01.2021.8.26.0001</t>
  </si>
  <si>
    <t>0000203-01.2021.8.26.0001</t>
  </si>
  <si>
    <t>0000204-01.2021.8.26.0001</t>
  </si>
  <si>
    <t>0000205-01.2021.8.26.0001</t>
  </si>
  <si>
    <t>0000206-01.2021.8.26.0001</t>
  </si>
  <si>
    <t>0000207-01.2021.8.26.0001</t>
  </si>
  <si>
    <t>0000208-01.2021.8.26.0001</t>
  </si>
  <si>
    <t>0000209-01.2021.8.26.0001</t>
  </si>
  <si>
    <t>0000210-01.2021.8.26.0001</t>
  </si>
  <si>
    <t>0000211-01.2021.8.26.0001</t>
  </si>
  <si>
    <t>0000212-01.2021.8.26.0001</t>
  </si>
  <si>
    <t>0000213-01.2021.8.26.0001</t>
  </si>
  <si>
    <t>0000214-01.2021.8.26.0001</t>
  </si>
  <si>
    <t>0000215-01.2021.8.26.0001</t>
  </si>
  <si>
    <t>0000216-01.2021.8.26.0001</t>
  </si>
  <si>
    <t>0000217-01.2021.8.26.0001</t>
  </si>
  <si>
    <t>0000218-01.2021.8.26.0001</t>
  </si>
  <si>
    <t>0000219-01.2021.8.26.0001</t>
  </si>
  <si>
    <t>0000220-01.2021.8.26.0001</t>
  </si>
  <si>
    <t>0000221-01.2021.8.26.0001</t>
  </si>
  <si>
    <t>0000222-01.2021.8.26.0001</t>
  </si>
  <si>
    <t>0000223-01.2021.8.26.0001</t>
  </si>
  <si>
    <t>0000224-01.2021.8.26.0001</t>
  </si>
  <si>
    <t>0000225-01.2021.8.26.0001</t>
  </si>
  <si>
    <t>0000226-01.2021.8.26.0001</t>
  </si>
  <si>
    <t>0000227-01.2021.8.26.0001</t>
  </si>
  <si>
    <t>0000228-01.2021.8.26.0001</t>
  </si>
  <si>
    <t>0000229-01.2021.8.26.0001</t>
  </si>
  <si>
    <t>0000230-01.2021.8.26.0001</t>
  </si>
  <si>
    <t>0000231-01.2021.8.26.0001</t>
  </si>
  <si>
    <t>0000232-01.2021.8.26.0001</t>
  </si>
  <si>
    <t>0000233-01.2021.8.26.0001</t>
  </si>
  <si>
    <t>0000234-01.2021.8.26.0001</t>
  </si>
  <si>
    <t>0000235-01.2021.8.26.0001</t>
  </si>
  <si>
    <t>0000236-01.2021.8.26.0001</t>
  </si>
  <si>
    <t>0000237-01.2021.8.26.0001</t>
  </si>
  <si>
    <t>0000238-01.2021.8.26.0001</t>
  </si>
  <si>
    <t>0000239-01.2021.8.26.0001</t>
  </si>
  <si>
    <t>0000240-01.2021.8.26.0001</t>
  </si>
  <si>
    <t>0000241-01.2021.8.26.0001</t>
  </si>
  <si>
    <t>0000242-01.2021.8.26.0001</t>
  </si>
  <si>
    <t>0000243-01.2021.8.26.0001</t>
  </si>
  <si>
    <t>0000244-01.2021.8.26.0001</t>
  </si>
  <si>
    <t>0000245-01.2021.8.26.0001</t>
  </si>
  <si>
    <t>0000246-01.2021.8.26.0001</t>
  </si>
  <si>
    <t>0000247-01.2021.8.26.0001</t>
  </si>
  <si>
    <t>0000248-01.2021.8.26.0001</t>
  </si>
  <si>
    <t>0000249-01.2021.8.26.0001</t>
  </si>
  <si>
    <t>0000250-01.2021.8.26.0001</t>
  </si>
  <si>
    <t>0000251-01.2021.8.26.0001</t>
  </si>
  <si>
    <t>0000252-01.2021.8.26.0001</t>
  </si>
  <si>
    <t>0000253-01.2021.8.26.0001</t>
  </si>
  <si>
    <t>0000254-01.2021.8.26.0001</t>
  </si>
  <si>
    <t>0000255-01.2021.8.26.0001</t>
  </si>
  <si>
    <t>0000256-01.2021.8.26.0001</t>
  </si>
  <si>
    <t>0000257-01.2021.8.26.0001</t>
  </si>
  <si>
    <t>0000258-01.2021.8.26.0001</t>
  </si>
  <si>
    <t>0000259-01.2021.8.26.0001</t>
  </si>
  <si>
    <t>0000260-01.2021.8.26.0001</t>
  </si>
  <si>
    <t>0000261-01.2021.8.26.0001</t>
  </si>
  <si>
    <t>0000262-01.2021.8.26.0001</t>
  </si>
  <si>
    <t>0000263-01.2021.8.26.0001</t>
  </si>
  <si>
    <t>0000264-01.2021.8.26.0001</t>
  </si>
  <si>
    <t>0000265-01.2021.8.26.0001</t>
  </si>
  <si>
    <t>0000266-01.2021.8.26.0001</t>
  </si>
  <si>
    <t>0000267-01.2021.8.26.0001</t>
  </si>
  <si>
    <t>0000268-01.2021.8.26.0001</t>
  </si>
  <si>
    <t>0000269-01.2021.8.26.0001</t>
  </si>
  <si>
    <t>0000270-01.2021.8.26.0001</t>
  </si>
  <si>
    <t>0000271-01.2021.8.26.0001</t>
  </si>
  <si>
    <t>0000272-01.2021.8.26.0001</t>
  </si>
  <si>
    <t>0000273-01.2021.8.26.0001</t>
  </si>
  <si>
    <t>0000274-01.2021.8.26.0001</t>
  </si>
  <si>
    <t>0000275-01.2021.8.26.0001</t>
  </si>
  <si>
    <t>0000276-01.2021.8.26.0001</t>
  </si>
  <si>
    <t>0000277-01.2021.8.26.0001</t>
  </si>
  <si>
    <t>0000278-01.2021.8.26.0001</t>
  </si>
  <si>
    <t>0000279-01.2021.8.26.0001</t>
  </si>
  <si>
    <t>0000280-01.2021.8.26.0001</t>
  </si>
  <si>
    <t>0000281-01.2021.8.26.0001</t>
  </si>
  <si>
    <t>0000282-01.2021.8.26.0001</t>
  </si>
  <si>
    <t>0000283-01.2021.8.26.0001</t>
  </si>
  <si>
    <t>0000284-01.2021.8.26.0001</t>
  </si>
  <si>
    <t>0000285-01.2021.8.26.0001</t>
  </si>
  <si>
    <t>0000286-01.2021.8.26.0001</t>
  </si>
  <si>
    <t>0000287-01.2021.8.26.0001</t>
  </si>
  <si>
    <t>0000288-01.2021.8.26.0001</t>
  </si>
  <si>
    <t>0000289-01.2021.8.26.0001</t>
  </si>
  <si>
    <t>0000290-01.2021.8.26.0001</t>
  </si>
  <si>
    <t>0000291-01.2021.8.26.0001</t>
  </si>
  <si>
    <t>0000292-01.2021.8.26.0001</t>
  </si>
  <si>
    <t>0000293-01.2021.8.26.0001</t>
  </si>
  <si>
    <t>0000294-01.2021.8.26.0001</t>
  </si>
  <si>
    <t>0000295-01.2021.8.26.0001</t>
  </si>
  <si>
    <t>0000296-01.2021.8.26.0001</t>
  </si>
  <si>
    <t>0000297-01.2021.8.26.0001</t>
  </si>
  <si>
    <t>0000298-01.2021.8.26.0001</t>
  </si>
  <si>
    <t>0000299-01.2021.8.26.0001</t>
  </si>
  <si>
    <t>0000300-01.2021.8.26.0001</t>
  </si>
  <si>
    <t>0000301-01.2021.8.26.0001</t>
  </si>
  <si>
    <t>0000302-01.2021.8.26.0001</t>
  </si>
  <si>
    <t>0000303-01.2021.8.26.0001</t>
  </si>
  <si>
    <t>0000304-01.2021.8.26.0001</t>
  </si>
  <si>
    <t>0000305-01.2021.8.26.0001</t>
  </si>
  <si>
    <t>0000306-01.2021.8.26.0001</t>
  </si>
  <si>
    <t>0000307-01.2021.8.26.0001</t>
  </si>
  <si>
    <t>0000308-01.2021.8.26.0001</t>
  </si>
  <si>
    <t>0000309-01.2021.8.26.0001</t>
  </si>
  <si>
    <t>0000310-01.2021.8.26.0001</t>
  </si>
  <si>
    <t>0000311-01.2021.8.26.0001</t>
  </si>
  <si>
    <t>0000312-01.2021.8.26.0001</t>
  </si>
  <si>
    <t>0000313-01.2021.8.26.0001</t>
  </si>
  <si>
    <t>0000314-01.2021.8.26.0001</t>
  </si>
  <si>
    <t>0000315-01.2021.8.26.0001</t>
  </si>
  <si>
    <t>0000316-01.2021.8.26.0001</t>
  </si>
  <si>
    <t>0000317-01.2021.8.26.0001</t>
  </si>
  <si>
    <t>0000318-01.2021.8.26.0001</t>
  </si>
  <si>
    <t>0000319-01.2021.8.26.0001</t>
  </si>
  <si>
    <t>0000320-01.2021.8.26.0001</t>
  </si>
  <si>
    <t>0000321-01.2021.8.26.0001</t>
  </si>
  <si>
    <t>0000322-01.2021.8.26.0001</t>
  </si>
  <si>
    <t>0000323-01.2021.8.26.0001</t>
  </si>
  <si>
    <t>0000324-01.2021.8.26.0001</t>
  </si>
  <si>
    <t>0000325-01.2021.8.26.0001</t>
  </si>
  <si>
    <t>0000326-01.2021.8.26.0001</t>
  </si>
  <si>
    <t>0000327-01.2021.8.26.0001</t>
  </si>
  <si>
    <t>0000328-01.2021.8.26.0001</t>
  </si>
  <si>
    <t>0000329-01.2021.8.26.0001</t>
  </si>
  <si>
    <t>0000330-01.2021.8.26.0001</t>
  </si>
  <si>
    <t>0000331-01.2021.8.26.0001</t>
  </si>
  <si>
    <t>0000332-01.2021.8.26.0001</t>
  </si>
  <si>
    <t>0000333-01.2021.8.26.0001</t>
  </si>
  <si>
    <t>0000334-01.2021.8.26.0001</t>
  </si>
  <si>
    <t>0000335-01.2021.8.26.0001</t>
  </si>
  <si>
    <t>0000336-01.2021.8.26.0001</t>
  </si>
  <si>
    <t>0000337-01.2021.8.26.0001</t>
  </si>
  <si>
    <t>0000338-01.2021.8.26.0001</t>
  </si>
  <si>
    <t>0000339-01.2021.8.26.0001</t>
  </si>
  <si>
    <t>0000340-01.2021.8.26.0001</t>
  </si>
  <si>
    <t>0000341-01.2021.8.26.0001</t>
  </si>
  <si>
    <t>0000342-01.2021.8.26.0001</t>
  </si>
  <si>
    <t>0000343-01.2021.8.26.0001</t>
  </si>
  <si>
    <t>0000344-01.2021.8.26.0001</t>
  </si>
  <si>
    <t>0000345-01.2021.8.26.0001</t>
  </si>
  <si>
    <t>0000346-01.2021.8.26.0001</t>
  </si>
  <si>
    <t>0000347-01.2021.8.26.0001</t>
  </si>
  <si>
    <t>0000348-01.2021.8.26.0001</t>
  </si>
  <si>
    <t>0000349-01.2021.8.26.0001</t>
  </si>
  <si>
    <t>0000350-01.2021.8.26.0001</t>
  </si>
  <si>
    <t>0000351-01.2021.8.26.0001</t>
  </si>
  <si>
    <t>0000352-01.2021.8.26.0001</t>
  </si>
  <si>
    <t>0000353-01.2021.8.26.0001</t>
  </si>
  <si>
    <t>0000354-01.2021.8.26.0001</t>
  </si>
  <si>
    <t>0000355-01.2021.8.26.0001</t>
  </si>
  <si>
    <t>0000356-01.2021.8.26.0001</t>
  </si>
  <si>
    <t>0000357-01.2021.8.26.0001</t>
  </si>
  <si>
    <t>0000358-01.2021.8.26.0001</t>
  </si>
  <si>
    <t>0000359-01.2021.8.26.0001</t>
  </si>
  <si>
    <t>0000360-01.2021.8.26.0001</t>
  </si>
  <si>
    <t>0000361-01.2021.8.26.0001</t>
  </si>
  <si>
    <t>0000362-01.2021.8.26.0001</t>
  </si>
  <si>
    <t>0000363-01.2021.8.26.0001</t>
  </si>
  <si>
    <t>0000364-01.2021.8.26.0001</t>
  </si>
  <si>
    <t>0000365-01.2021.8.26.0001</t>
  </si>
  <si>
    <t>0000366-01.2021.8.26.0001</t>
  </si>
  <si>
    <t>0000367-01.2021.8.26.0001</t>
  </si>
  <si>
    <t>0000368-01.2021.8.26.0001</t>
  </si>
  <si>
    <t>0000369-01.2021.8.26.0001</t>
  </si>
  <si>
    <t>0000370-01.2021.8.26.0001</t>
  </si>
  <si>
    <t>0000371-01.2021.8.26.0001</t>
  </si>
  <si>
    <t>0000372-01.2021.8.26.0001</t>
  </si>
  <si>
    <t>0000373-01.2021.8.26.0001</t>
  </si>
  <si>
    <t>0000374-01.2021.8.26.0001</t>
  </si>
  <si>
    <t>0000375-01.2021.8.26.0001</t>
  </si>
  <si>
    <t>0000376-01.2021.8.26.0001</t>
  </si>
  <si>
    <t>0000377-01.2021.8.26.0001</t>
  </si>
  <si>
    <t>0000378-01.2021.8.26.0001</t>
  </si>
  <si>
    <t>0000379-01.2021.8.26.0001</t>
  </si>
  <si>
    <t>0000380-01.2021.8.26.0001</t>
  </si>
  <si>
    <t>0000381-01.2021.8.26.0001</t>
  </si>
  <si>
    <t>0000382-01.2021.8.26.0001</t>
  </si>
  <si>
    <t>0000383-01.2021.8.26.0001</t>
  </si>
  <si>
    <t>0000384-01.2021.8.26.0001</t>
  </si>
  <si>
    <t>0000385-01.2021.8.26.0001</t>
  </si>
  <si>
    <t>0000386-01.2021.8.26.0001</t>
  </si>
  <si>
    <t>0000387-01.2021.8.26.0001</t>
  </si>
  <si>
    <t>0000388-01.2021.8.26.0001</t>
  </si>
  <si>
    <t>0000389-01.2021.8.26.0001</t>
  </si>
  <si>
    <t>0000390-01.2021.8.26.0001</t>
  </si>
  <si>
    <t>0000391-01.2021.8.26.0001</t>
  </si>
  <si>
    <t>0000392-01.2021.8.26.0001</t>
  </si>
  <si>
    <t>0000393-01.2021.8.26.0001</t>
  </si>
  <si>
    <t>0000394-01.2021.8.26.0001</t>
  </si>
  <si>
    <t>0000395-01.2021.8.26.0001</t>
  </si>
  <si>
    <t>0000396-01.2021.8.26.0001</t>
  </si>
  <si>
    <t>0000397-01.2021.8.26.0001</t>
  </si>
  <si>
    <t>0000398-01.2021.8.26.0001</t>
  </si>
  <si>
    <t>0000399-01.2021.8.26.0001</t>
  </si>
  <si>
    <t>0000400-01.2021.8.26.0001</t>
  </si>
  <si>
    <t>0000401-01.2021.8.26.0001</t>
  </si>
  <si>
    <t>0000402-01.2021.8.26.0001</t>
  </si>
  <si>
    <t>0000403-01.2021.8.26.0001</t>
  </si>
  <si>
    <t>0000404-01.2021.8.26.0001</t>
  </si>
  <si>
    <t>0000405-01.2021.8.26.0001</t>
  </si>
  <si>
    <t>0000406-01.2021.8.26.0001</t>
  </si>
  <si>
    <t>0000407-01.2021.8.26.0001</t>
  </si>
  <si>
    <t>0000408-01.2021.8.26.0001</t>
  </si>
  <si>
    <t>0000409-01.2021.8.26.0001</t>
  </si>
  <si>
    <t>0000410-01.2021.8.26.0001</t>
  </si>
  <si>
    <t>0000411-01.2021.8.26.0001</t>
  </si>
  <si>
    <t>0000412-01.2021.8.26.0001</t>
  </si>
  <si>
    <t>0000413-01.2021.8.26.0001</t>
  </si>
  <si>
    <t>0000414-01.2021.8.26.0001</t>
  </si>
  <si>
    <t>0000415-01.2021.8.26.0001</t>
  </si>
  <si>
    <t>0000416-01.2021.8.26.0001</t>
  </si>
  <si>
    <t>0000417-01.2021.8.26.0001</t>
  </si>
  <si>
    <t>0000418-01.2021.8.26.0001</t>
  </si>
  <si>
    <t>0000419-01.2021.8.26.0001</t>
  </si>
  <si>
    <t>0000420-01.2021.8.26.0001</t>
  </si>
  <si>
    <t>0000421-01.2021.8.26.0001</t>
  </si>
  <si>
    <t>0000422-01.2021.8.26.0001</t>
  </si>
  <si>
    <t>0000423-01.2021.8.26.0001</t>
  </si>
  <si>
    <t>0000424-01.2021.8.26.0001</t>
  </si>
  <si>
    <t>0000425-01.2021.8.26.0001</t>
  </si>
  <si>
    <t>0000426-01.2021.8.26.0001</t>
  </si>
  <si>
    <t>0000427-01.2021.8.26.0001</t>
  </si>
  <si>
    <t>0000428-01.2021.8.26.0001</t>
  </si>
  <si>
    <t>0000429-01.2021.8.26.0001</t>
  </si>
  <si>
    <t>0000430-01.2021.8.26.0001</t>
  </si>
  <si>
    <t>0000431-01.2021.8.26.0001</t>
  </si>
  <si>
    <t>0000432-01.2021.8.26.0001</t>
  </si>
  <si>
    <t>0000433-01.2021.8.26.0001</t>
  </si>
  <si>
    <t>0000434-01.2021.8.26.0001</t>
  </si>
  <si>
    <t>0000435-01.2021.8.26.0001</t>
  </si>
  <si>
    <t>0000436-01.2021.8.26.0001</t>
  </si>
  <si>
    <t>0000437-01.2021.8.26.0001</t>
  </si>
  <si>
    <t>0000438-01.2021.8.26.0001</t>
  </si>
  <si>
    <t>0000439-01.2021.8.26.0001</t>
  </si>
  <si>
    <t>0000440-01.2021.8.26.0001</t>
  </si>
  <si>
    <t>0000441-01.2021.8.26.0001</t>
  </si>
  <si>
    <t>0000442-01.2021.8.26.0001</t>
  </si>
  <si>
    <t>0000443-01.2021.8.26.0001</t>
  </si>
  <si>
    <t>0000444-01.2021.8.26.0001</t>
  </si>
  <si>
    <t>0000445-01.2021.8.26.0001</t>
  </si>
  <si>
    <t>0000446-01.2021.8.26.0001</t>
  </si>
  <si>
    <t>0000447-01.2021.8.26.0001</t>
  </si>
  <si>
    <t>0000448-01.2021.8.26.0001</t>
  </si>
  <si>
    <t>0000449-01.2021.8.26.0001</t>
  </si>
  <si>
    <t>0000450-01.2021.8.26.0001</t>
  </si>
  <si>
    <t>0000451-01.2021.8.26.0001</t>
  </si>
  <si>
    <t>0000452-01.2021.8.26.0001</t>
  </si>
  <si>
    <t>0000453-01.2021.8.26.0001</t>
  </si>
  <si>
    <t>0000454-01.2021.8.26.0001</t>
  </si>
  <si>
    <t>0000455-01.2021.8.26.0001</t>
  </si>
  <si>
    <t>0000456-01.2021.8.26.0001</t>
  </si>
  <si>
    <t>0000457-01.2021.8.26.0001</t>
  </si>
  <si>
    <t>0000458-01.2021.8.26.0001</t>
  </si>
  <si>
    <t>0000459-01.2021.8.26.0001</t>
  </si>
  <si>
    <t>0000460-01.2021.8.26.0001</t>
  </si>
  <si>
    <t>0000461-01.2021.8.26.0001</t>
  </si>
  <si>
    <t>0000462-01.2021.8.26.0001</t>
  </si>
  <si>
    <t>0000463-01.2021.8.26.0001</t>
  </si>
  <si>
    <t>0000464-01.2021.8.26.0001</t>
  </si>
  <si>
    <t>0000465-01.2021.8.26.0001</t>
  </si>
  <si>
    <t>0000466-01.2021.8.26.0001</t>
  </si>
  <si>
    <t>0000467-01.2021.8.26.0001</t>
  </si>
  <si>
    <t>0000468-01.2021.8.26.0001</t>
  </si>
  <si>
    <t>0000469-01.2021.8.26.0001</t>
  </si>
  <si>
    <t>0000470-01.2021.8.26.0001</t>
  </si>
  <si>
    <t>0000471-01.2021.8.26.0001</t>
  </si>
  <si>
    <t>0000472-01.2021.8.26.0001</t>
  </si>
  <si>
    <t>0000473-01.2021.8.26.0001</t>
  </si>
  <si>
    <t>0000474-01.2021.8.26.0001</t>
  </si>
  <si>
    <t>0000475-01.2021.8.26.0001</t>
  </si>
  <si>
    <t>0000476-01.2021.8.26.0001</t>
  </si>
  <si>
    <t>0000477-01.2021.8.26.0001</t>
  </si>
  <si>
    <t>0000478-01.2021.8.26.0001</t>
  </si>
  <si>
    <t>0000479-01.2021.8.26.0001</t>
  </si>
  <si>
    <t>0000480-01.2021.8.26.0001</t>
  </si>
  <si>
    <t>0000481-01.2021.8.26.0001</t>
  </si>
  <si>
    <t>0000482-01.2021.8.26.0001</t>
  </si>
  <si>
    <t>0000483-01.2021.8.26.0001</t>
  </si>
  <si>
    <t>0000484-01.2021.8.26.0001</t>
  </si>
  <si>
    <t>0000485-01.2021.8.26.0001</t>
  </si>
  <si>
    <t>0000486-01.2021.8.26.0001</t>
  </si>
  <si>
    <t>0000487-01.2021.8.26.0001</t>
  </si>
  <si>
    <t>0000488-01.2021.8.26.0001</t>
  </si>
  <si>
    <t>0000489-01.2021.8.26.0001</t>
  </si>
  <si>
    <t>0000490-01.2021.8.26.0001</t>
  </si>
  <si>
    <t>0000491-01.2021.8.26.0001</t>
  </si>
  <si>
    <t>0000492-01.2021.8.26.0001</t>
  </si>
  <si>
    <t>0000493-01.2021.8.26.0001</t>
  </si>
  <si>
    <t>0000494-01.2021.8.26.0001</t>
  </si>
  <si>
    <t>0000495-01.2021.8.26.0001</t>
  </si>
  <si>
    <t>0000496-01.2021.8.26.0001</t>
  </si>
  <si>
    <t>0000497-01.2021.8.26.0001</t>
  </si>
  <si>
    <t>0000498-01.2021.8.26.0001</t>
  </si>
  <si>
    <t>0000499-01.2021.8.26.0001</t>
  </si>
  <si>
    <t>0000500-01.2021.8.26.0001</t>
  </si>
  <si>
    <t>0000501-01.2021.8.26.0001</t>
  </si>
  <si>
    <t>0000502-01.2021.8.26.0001</t>
  </si>
  <si>
    <t>0000503-01.2021.8.26.0001</t>
  </si>
  <si>
    <t>0000504-01.2021.8.26.0001</t>
  </si>
  <si>
    <t>0000505-01.2021.8.26.0001</t>
  </si>
  <si>
    <t>0000506-01.2021.8.26.0001</t>
  </si>
  <si>
    <t>0000507-01.2021.8.26.0001</t>
  </si>
  <si>
    <t>0000508-01.2021.8.26.0001</t>
  </si>
  <si>
    <t>0000509-01.2021.8.26.0001</t>
  </si>
  <si>
    <t>0000510-01.2021.8.26.0001</t>
  </si>
  <si>
    <t>0000511-01.2021.8.26.0001</t>
  </si>
  <si>
    <t>0000512-01.2021.8.26.0001</t>
  </si>
  <si>
    <t>0000513-01.2021.8.26.0001</t>
  </si>
  <si>
    <t>0000514-01.2021.8.26.0001</t>
  </si>
  <si>
    <t>0000515-01.2021.8.26.0001</t>
  </si>
  <si>
    <t>0000516-01.2021.8.26.0001</t>
  </si>
  <si>
    <t>0000517-01.2021.8.26.0001</t>
  </si>
  <si>
    <t>0000518-01.2021.8.26.0001</t>
  </si>
  <si>
    <t>0000519-01.2021.8.26.0001</t>
  </si>
  <si>
    <t>0000520-01.2021.8.26.0001</t>
  </si>
  <si>
    <t>0000521-01.2021.8.26.0001</t>
  </si>
  <si>
    <t>0000522-01.2021.8.26.0001</t>
  </si>
  <si>
    <t>0000523-01.2021.8.26.0001</t>
  </si>
  <si>
    <t>0000524-01.2021.8.26.0001</t>
  </si>
  <si>
    <t>0000525-01.2021.8.26.0001</t>
  </si>
  <si>
    <t>0000526-01.2021.8.26.0001</t>
  </si>
  <si>
    <t>0000527-01.2021.8.26.0001</t>
  </si>
  <si>
    <t>0000528-01.2021.8.26.0001</t>
  </si>
  <si>
    <t>0000529-01.2021.8.26.0001</t>
  </si>
  <si>
    <t>0000530-01.2021.8.26.0001</t>
  </si>
  <si>
    <t>0000531-01.2021.8.26.0001</t>
  </si>
  <si>
    <t>0000532-01.2021.8.26.0001</t>
  </si>
  <si>
    <t>0000533-01.2021.8.26.0001</t>
  </si>
  <si>
    <t>0000534-01.2021.8.26.0001</t>
  </si>
  <si>
    <t>0000535-01.2021.8.26.0001</t>
  </si>
  <si>
    <t>0000536-01.2021.8.26.0001</t>
  </si>
  <si>
    <t>0000537-01.2021.8.26.0001</t>
  </si>
  <si>
    <t>0000538-01.2021.8.26.0001</t>
  </si>
  <si>
    <t>0000539-01.2021.8.26.0001</t>
  </si>
  <si>
    <t>0000540-01.2021.8.26.0001</t>
  </si>
  <si>
    <t>0000541-01.2021.8.26.0001</t>
  </si>
  <si>
    <t>0000542-01.2021.8.26.0001</t>
  </si>
  <si>
    <t>0000543-01.2021.8.26.0001</t>
  </si>
  <si>
    <t>0000544-01.2021.8.26.0001</t>
  </si>
  <si>
    <t>0000545-01.2021.8.26.0001</t>
  </si>
  <si>
    <t>0000546-01.2021.8.26.0001</t>
  </si>
  <si>
    <t>0000547-01.2021.8.26.0001</t>
  </si>
  <si>
    <t>0000548-01.2021.8.26.0001</t>
  </si>
  <si>
    <t>0000549-01.2021.8.26.0001</t>
  </si>
  <si>
    <t>0000550-01.2021.8.26.0001</t>
  </si>
  <si>
    <t>0000551-01.2021.8.26.0001</t>
  </si>
  <si>
    <t>0000552-01.2021.8.26.0001</t>
  </si>
  <si>
    <t>0000553-01.2021.8.26.0001</t>
  </si>
  <si>
    <t>0000554-01.2021.8.26.0001</t>
  </si>
  <si>
    <t>0000555-01.2021.8.26.0001</t>
  </si>
  <si>
    <t>0000556-01.2021.8.26.0001</t>
  </si>
  <si>
    <t>C:\Users\andre\Desktop\Prova\base1.xlsx</t>
  </si>
  <si>
    <t>base1.xlsx</t>
  </si>
  <si>
    <t>$A$7</t>
  </si>
  <si>
    <t>Excluídos</t>
  </si>
  <si>
    <t>Total</t>
  </si>
  <si>
    <t>Novos</t>
  </si>
  <si>
    <t>Valor Ativo</t>
  </si>
  <si>
    <t>Valor Encerrado</t>
  </si>
  <si>
    <t>Exluido?</t>
  </si>
  <si>
    <t>Novo?</t>
  </si>
  <si>
    <t>Mudou?</t>
  </si>
  <si>
    <t>Situação</t>
  </si>
  <si>
    <t>Diferença</t>
  </si>
  <si>
    <t>Situação da Diferença</t>
  </si>
  <si>
    <t>Mudou</t>
  </si>
  <si>
    <t>Quantidade</t>
  </si>
  <si>
    <t>Percentual</t>
  </si>
  <si>
    <t>Maiores Ativos</t>
  </si>
  <si>
    <t>Maiores Encerrados</t>
  </si>
  <si>
    <t>Aumentou</t>
  </si>
  <si>
    <t>Diminuiu</t>
  </si>
  <si>
    <t>Valores e aumentos/diminuições</t>
  </si>
  <si>
    <t>Valor</t>
  </si>
  <si>
    <t>Variação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</si>
</sst>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 tint="-0.25098422193060094"/>
        </stop>
      </gradient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43" fontId="0" fillId="0" borderId="0" xfId="1" applyFont="1"/>
    <xf numFmtId="0" fontId="0" fillId="0" borderId="0" xfId="0" applyAlignment="1">
      <alignment horizontal="left" vertical="center"/>
    </xf>
    <xf numFmtId="22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4" borderId="2" xfId="0" applyFont="1" applyFill="1" applyBorder="1"/>
    <xf numFmtId="49" fontId="0" fillId="0" borderId="0" xfId="1" applyNumberFormat="1" applyFont="1"/>
    <xf numFmtId="44" fontId="0" fillId="0" borderId="0" xfId="2" applyFont="1"/>
    <xf numFmtId="0" fontId="0" fillId="0" borderId="0" xfId="0" applyNumberFormat="1"/>
    <xf numFmtId="0" fontId="0" fillId="5" borderId="3" xfId="2" applyNumberFormat="1" applyFont="1" applyFill="1" applyBorder="1" applyAlignment="1">
      <alignment horizontal="center" vertical="center"/>
    </xf>
    <xf numFmtId="10" fontId="0" fillId="5" borderId="3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4" fontId="0" fillId="0" borderId="3" xfId="2" applyNumberFormat="1" applyFont="1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44" fontId="0" fillId="0" borderId="0" xfId="2" applyNumberFormat="1" applyFont="1"/>
    <xf numFmtId="0" fontId="3" fillId="4" borderId="0" xfId="0" applyFont="1" applyFill="1" applyBorder="1"/>
  </cellXfs>
  <cellStyles count="4">
    <cellStyle name="Moeda" xfId="2" builtinId="4"/>
    <cellStyle name="Normal" xfId="0" builtinId="0"/>
    <cellStyle name="Porcentagem" xfId="3" builtinId="5"/>
    <cellStyle name="Vírgula" xfId="1" builtinId="3"/>
  </cellStyles>
  <dxfs count="1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</dxfs>
  <tableStyles count="0" defaultTableStyle="TableStyleMedium2" defaultPivotStyle="PivotStyleLight16"/>
  <colors>
    <mruColors>
      <color rgb="FFB6B7BC"/>
      <color rgb="FF03A9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F57-48CD-A373-6E072AFDEB9D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F57-48CD-A373-6E072AFDEB9D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F57-48CD-A373-6E072AFDEB9D}"/>
              </c:ext>
            </c:extLst>
          </c:dPt>
          <c:dLbls>
            <c:dLbl>
              <c:idx val="0"/>
              <c:layout>
                <c:manualLayout>
                  <c:x val="0.13547237076648841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F57-48CD-A373-6E072AFDEB9D}"/>
                </c:ext>
              </c:extLst>
            </c:dLbl>
            <c:dLbl>
              <c:idx val="1"/>
              <c:layout>
                <c:manualLayout>
                  <c:x val="-0.18894830659536546"/>
                  <c:y val="-2.549394007037139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57-48CD-A373-6E072AFDEB9D}"/>
                </c:ext>
              </c:extLst>
            </c:dLbl>
            <c:dLbl>
              <c:idx val="2"/>
              <c:layout>
                <c:manualLayout>
                  <c:x val="-0.18894830659536546"/>
                  <c:y val="0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F57-48CD-A373-6E072AFDEB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rgbClr val="03A9F4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'KPI Values'!$A$2:$A$4</c:f>
              <c:strCache>
                <c:ptCount val="3"/>
                <c:pt idx="0">
                  <c:v>Excluídos</c:v>
                </c:pt>
                <c:pt idx="1">
                  <c:v>Novos</c:v>
                </c:pt>
                <c:pt idx="2">
                  <c:v>Mudou</c:v>
                </c:pt>
              </c:strCache>
            </c:strRef>
          </c:cat>
          <c:val>
            <c:numRef>
              <c:f>'KPI Values'!$B$2:$B$4</c:f>
              <c:numCache>
                <c:formatCode>General</c:formatCode>
                <c:ptCount val="3"/>
                <c:pt idx="0">
                  <c:v>32</c:v>
                </c:pt>
                <c:pt idx="1">
                  <c:v>520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57-48CD-A373-6E072AFDEB9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 i="1">
                <a:solidFill>
                  <a:srgbClr val="B6B7BC"/>
                </a:solidFill>
              </a:rPr>
              <a:t>Variações nos processos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Ativo</c:v>
          </c:tx>
          <c:spPr>
            <a:solidFill>
              <a:srgbClr val="B6B7BC"/>
            </a:solidFill>
            <a:ln>
              <a:noFill/>
            </a:ln>
            <a:effectLst/>
          </c:spPr>
          <c:invertIfNegative val="0"/>
          <c:cat>
            <c:strRef>
              <c:f>'KPI Values'!$M$3:$M$6</c:f>
              <c:strCache>
                <c:ptCount val="4"/>
                <c:pt idx="0">
                  <c:v> 0000001-01.2021.8.26.0001 </c:v>
                </c:pt>
                <c:pt idx="1">
                  <c:v> 0000201-01.2021.8.26.0001 </c:v>
                </c:pt>
                <c:pt idx="2">
                  <c:v> 0000523-01.2021.8.26.0001 </c:v>
                </c:pt>
                <c:pt idx="3">
                  <c:v> 0000524-01.2021.8.26.0001 </c:v>
                </c:pt>
              </c:strCache>
            </c:strRef>
          </c:cat>
          <c:val>
            <c:numRef>
              <c:f>'KPI Values'!$N$3:$N$6</c:f>
              <c:numCache>
                <c:formatCode>_("R$"* #,##0.00_);_("R$"* \(#,##0.00\);_("R$"* "-"??_);_(@_)</c:formatCode>
                <c:ptCount val="4"/>
                <c:pt idx="0">
                  <c:v>1234.8399999999999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3-4082-B098-B6B8A5234F2D}"/>
            </c:ext>
          </c:extLst>
        </c:ser>
        <c:ser>
          <c:idx val="1"/>
          <c:order val="1"/>
          <c:tx>
            <c:v>Encerrado</c:v>
          </c:tx>
          <c:spPr>
            <a:solidFill>
              <a:srgbClr val="03A9F4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7777777777777905E-3"/>
                  <c:y val="-5.09620151647711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03-4082-B098-B6B8A5234F2D}"/>
                </c:ext>
              </c:extLst>
            </c:dLbl>
            <c:dLbl>
              <c:idx val="1"/>
              <c:layout>
                <c:manualLayout>
                  <c:x val="0"/>
                  <c:y val="-5.097987751531050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03-4082-B098-B6B8A5234F2D}"/>
                </c:ext>
              </c:extLst>
            </c:dLbl>
            <c:dLbl>
              <c:idx val="2"/>
              <c:layout>
                <c:manualLayout>
                  <c:x val="0"/>
                  <c:y val="-0.1728729221347331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03-4082-B098-B6B8A5234F2D}"/>
                </c:ext>
              </c:extLst>
            </c:dLbl>
            <c:dLbl>
              <c:idx val="3"/>
              <c:layout>
                <c:manualLayout>
                  <c:x val="3.8576115485563288E-3"/>
                  <c:y val="-0.2986785505978419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811811023622048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5103-4082-B098-B6B8A5234F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'KPI Values'!$M$3:$M$6</c:f>
              <c:strCache>
                <c:ptCount val="4"/>
                <c:pt idx="0">
                  <c:v> 0000001-01.2021.8.26.0001 </c:v>
                </c:pt>
                <c:pt idx="1">
                  <c:v> 0000201-01.2021.8.26.0001 </c:v>
                </c:pt>
                <c:pt idx="2">
                  <c:v> 0000523-01.2021.8.26.0001 </c:v>
                </c:pt>
                <c:pt idx="3">
                  <c:v> 0000524-01.2021.8.26.0001 </c:v>
                </c:pt>
              </c:strCache>
            </c:strRef>
          </c:cat>
          <c:val>
            <c:numRef>
              <c:f>'KPI Values'!$O$3:$O$6</c:f>
              <c:numCache>
                <c:formatCode>_("R$"* #,##0.00_);_("R$"* \(#,##0.00\);_("R$"* "-"??_);_(@_)</c:formatCode>
                <c:ptCount val="4"/>
                <c:pt idx="0">
                  <c:v>1061.9624000000001</c:v>
                </c:pt>
                <c:pt idx="1">
                  <c:v>11994.079563754722</c:v>
                </c:pt>
                <c:pt idx="2">
                  <c:v>80919744.342089877</c:v>
                </c:pt>
                <c:pt idx="3">
                  <c:v>145655539.81576177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3-4082-B098-B6B8A5234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57640096"/>
        <c:axId val="1257640928"/>
      </c:barChart>
      <c:catAx>
        <c:axId val="125764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7640928"/>
        <c:crosses val="autoZero"/>
        <c:auto val="1"/>
        <c:lblAlgn val="ctr"/>
        <c:lblOffset val="100"/>
        <c:noMultiLvlLbl val="0"/>
      </c:catAx>
      <c:valAx>
        <c:axId val="1257640928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257640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title pos="t" align="ctr" overlay="0">
      <cx:tx>
        <cx:txData>
          <cx:v>Maiores valores de processos ativos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pt-BR" sz="1400" b="1" i="1" u="sng" strike="noStrike" baseline="0">
              <a:solidFill>
                <a:srgbClr val="B6B7BC"/>
              </a:solidFill>
              <a:latin typeface="Calibri" panose="020F0502020204030204"/>
            </a:rPr>
            <a:t>Maiores valores de processos ativos</a:t>
          </a:r>
        </a:p>
      </cx:txPr>
    </cx:title>
    <cx:plotArea>
      <cx:plotAreaRegion>
        <cx:series layoutId="funnel" uniqueId="{E59E3692-78ED-445D-A8F7-3CC7030E8045}">
          <cx:tx>
            <cx:txData>
              <cx:f/>
              <cx:v>Valores Ativos</cx:v>
            </cx:txData>
          </cx:tx>
          <cx:spPr>
            <a:solidFill>
              <a:srgbClr val="03A9F4"/>
            </a:solidFill>
          </cx:spPr>
          <cx:dataPt idx="0">
            <cx:spPr>
              <a:solidFill>
                <a:srgbClr val="92D050"/>
              </a:solidFill>
            </cx:spPr>
          </cx:dataPt>
          <cx:dataLabels>
            <cx:visibility seriesName="0" categoryName="0" value="1"/>
            <cx:dataLabel idx="0">
              <cx:txPr>
                <a:bodyPr spcFirstLastPara="1" vertOverflow="ellipsis" horzOverflow="overflow" wrap="square" lIns="0" tIns="0" rIns="0" bIns="0" anchor="ctr" anchorCtr="1"/>
                <a:lstStyle/>
                <a:p>
                  <a:pPr algn="ctr" rtl="0">
                    <a:defRPr>
                      <a:solidFill>
                        <a:schemeClr val="bg1"/>
                      </a:solidFill>
                    </a:defRPr>
                  </a:pPr>
                  <a:r>
                    <a:rPr lang="pt-BR" sz="900" b="0" i="0" u="none" strike="noStrike" baseline="0">
                      <a:solidFill>
                        <a:schemeClr val="bg1"/>
                      </a:solidFill>
                      <a:latin typeface="Calibri" panose="020F0502020204030204"/>
                    </a:rPr>
                    <a:t> R$ 303.298.018,81 </a:t>
                  </a:r>
                </a:p>
              </cx:txPr>
            </cx:dataLabel>
          </cx:dataLabels>
          <cx:dataId val="0"/>
        </cx:series>
      </cx:plotAreaRegion>
      <cx:axis id="0">
        <cx:catScaling gapWidth="0.0599999987"/>
        <cx:tickLabels/>
      </cx:axis>
    </cx:plotArea>
  </cx:chart>
  <cx:spPr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_xlchart.v2.2</cx:f>
      </cx:strDim>
      <cx:numDim type="val">
        <cx:f>_xlchart.v2.3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400" b="1" i="1" u="sng" strike="noStrike" baseline="0">
                <a:solidFill>
                  <a:srgbClr val="B6B7BC"/>
                </a:solidFill>
                <a:effectLst/>
                <a:latin typeface="Calibri" panose="020F0502020204030204"/>
                <a:ea typeface="Calibri" panose="020F0502020204030204" pitchFamily="34" charset="0"/>
                <a:cs typeface="Calibri" panose="020F0502020204030204" pitchFamily="34" charset="0"/>
              </a:rPr>
              <a:t>Maiores valores de processos encerrados</a:t>
            </a:r>
            <a:endParaRPr lang="pt-BR">
              <a:solidFill>
                <a:srgbClr val="B6B7BC"/>
              </a:solidFill>
              <a:effectLst/>
            </a:endParaRPr>
          </a:p>
        </cx:rich>
      </cx:tx>
    </cx:title>
    <cx:plotArea>
      <cx:plotAreaRegion>
        <cx:plotSurface>
          <cx:spPr>
            <a:ln>
              <a:noFill/>
            </a:ln>
          </cx:spPr>
        </cx:plotSurface>
        <cx:series layoutId="funnel" uniqueId="{AC75FBE2-5B27-4E74-8822-CD7C48AEC2D2}">
          <cx:tx>
            <cx:txData>
              <cx:f/>
              <cx:v>Valores Encerrados</cx:v>
            </cx:txData>
          </cx:tx>
          <cx:spPr>
            <a:solidFill>
              <a:srgbClr val="03A9F4"/>
            </a:solidFill>
          </cx:spPr>
          <cx:dataPt idx="0">
            <cx:spPr>
              <a:solidFill>
                <a:srgbClr val="92D05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bg1"/>
                    </a:solidFill>
                  </a:defRPr>
                </a:pPr>
                <a:endParaRPr lang="pt-BR" sz="900" b="0" i="0" u="none" strike="noStrike" baseline="0">
                  <a:solidFill>
                    <a:schemeClr val="bg1"/>
                  </a:solidFill>
                  <a:latin typeface="Calibri" panose="020F050202020403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hyperlink" Target="#Base!A1"/><Relationship Id="rId7" Type="http://schemas.openxmlformats.org/officeDocument/2006/relationships/chart" Target="../charts/chart1.xml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6" Type="http://schemas.microsoft.com/office/2014/relationships/chartEx" Target="../charts/chartEx2.xml"/><Relationship Id="rId5" Type="http://schemas.microsoft.com/office/2014/relationships/chartEx" Target="../charts/chartEx1.xml"/><Relationship Id="rId4" Type="http://schemas.openxmlformats.org/officeDocument/2006/relationships/hyperlink" Target="#Atualiza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hyperlink" Target="#Atualiza&#231;&#245;e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Base!A1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hyperlink" Target="#Atualiz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57150</xdr:rowOff>
    </xdr:from>
    <xdr:to>
      <xdr:col>2</xdr:col>
      <xdr:colOff>331787</xdr:colOff>
      <xdr:row>3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75794016-6B7B-DE94-6DC5-66398328F5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3</xdr:col>
      <xdr:colOff>161925</xdr:colOff>
      <xdr:row>0</xdr:row>
      <xdr:rowOff>190499</xdr:rowOff>
    </xdr:from>
    <xdr:to>
      <xdr:col>5</xdr:col>
      <xdr:colOff>408454</xdr:colOff>
      <xdr:row>3</xdr:row>
      <xdr:rowOff>114299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AAC6514-3A70-1C4C-5492-BBA3B94D23D5}"/>
            </a:ext>
          </a:extLst>
        </xdr:cNvPr>
        <xdr:cNvSpPr/>
      </xdr:nvSpPr>
      <xdr:spPr>
        <a:xfrm>
          <a:off x="1977278" y="190499"/>
          <a:ext cx="145676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6</xdr:col>
      <xdr:colOff>129477</xdr:colOff>
      <xdr:row>0</xdr:row>
      <xdr:rowOff>190499</xdr:rowOff>
    </xdr:from>
    <xdr:to>
      <xdr:col>8</xdr:col>
      <xdr:colOff>376006</xdr:colOff>
      <xdr:row>3</xdr:row>
      <xdr:rowOff>114299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1CD378-C41B-AF51-ADC1-494DFB98E2F7}"/>
            </a:ext>
          </a:extLst>
        </xdr:cNvPr>
        <xdr:cNvSpPr/>
      </xdr:nvSpPr>
      <xdr:spPr>
        <a:xfrm>
          <a:off x="3760183" y="190499"/>
          <a:ext cx="145676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9</xdr:col>
      <xdr:colOff>97029</xdr:colOff>
      <xdr:row>0</xdr:row>
      <xdr:rowOff>190499</xdr:rowOff>
    </xdr:from>
    <xdr:to>
      <xdr:col>11</xdr:col>
      <xdr:colOff>338698</xdr:colOff>
      <xdr:row>3</xdr:row>
      <xdr:rowOff>114299</xdr:rowOff>
    </xdr:to>
    <xdr:sp macro="[0]!AddBase.AddBase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BAFD3F95-91BE-04BC-0AFA-C440D23B9659}"/>
            </a:ext>
          </a:extLst>
        </xdr:cNvPr>
        <xdr:cNvSpPr/>
      </xdr:nvSpPr>
      <xdr:spPr>
        <a:xfrm>
          <a:off x="5543088" y="190499"/>
          <a:ext cx="145190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12</xdr:col>
      <xdr:colOff>59721</xdr:colOff>
      <xdr:row>0</xdr:row>
      <xdr:rowOff>190499</xdr:rowOff>
    </xdr:from>
    <xdr:to>
      <xdr:col>14</xdr:col>
      <xdr:colOff>301390</xdr:colOff>
      <xdr:row>3</xdr:row>
      <xdr:rowOff>114299</xdr:rowOff>
    </xdr:to>
    <xdr:sp macro="[0]!EditBase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4EC024C7-6776-4D7C-AE2C-B4BE7C89718B}"/>
            </a:ext>
          </a:extLst>
        </xdr:cNvPr>
        <xdr:cNvSpPr/>
      </xdr:nvSpPr>
      <xdr:spPr>
        <a:xfrm>
          <a:off x="7321133" y="190499"/>
          <a:ext cx="1451904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15</xdr:col>
      <xdr:colOff>22412</xdr:colOff>
      <xdr:row>0</xdr:row>
      <xdr:rowOff>190499</xdr:rowOff>
    </xdr:from>
    <xdr:to>
      <xdr:col>17</xdr:col>
      <xdr:colOff>268941</xdr:colOff>
      <xdr:row>3</xdr:row>
      <xdr:rowOff>114299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45B6721-1C26-4361-9E6F-157157185D64}"/>
            </a:ext>
          </a:extLst>
        </xdr:cNvPr>
        <xdr:cNvSpPr/>
      </xdr:nvSpPr>
      <xdr:spPr>
        <a:xfrm>
          <a:off x="9099177" y="190499"/>
          <a:ext cx="1456764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18</xdr:col>
      <xdr:colOff>0</xdr:colOff>
      <xdr:row>1</xdr:row>
      <xdr:rowOff>0</xdr:rowOff>
    </xdr:from>
    <xdr:to>
      <xdr:col>20</xdr:col>
      <xdr:colOff>246529</xdr:colOff>
      <xdr:row>3</xdr:row>
      <xdr:rowOff>114300</xdr:rowOff>
    </xdr:to>
    <xdr:sp macro="[0]!RefreshData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06D763E1-20FD-45B2-BE54-9EDE733BD097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 Relatório</a:t>
          </a:r>
          <a:endParaRPr lang="pt-BR" sz="1500" b="1"/>
        </a:p>
      </xdr:txBody>
    </xdr:sp>
    <xdr:clientData/>
  </xdr:twoCellAnchor>
  <xdr:twoCellAnchor editAs="absolute">
    <xdr:from>
      <xdr:col>3</xdr:col>
      <xdr:colOff>66675</xdr:colOff>
      <xdr:row>5</xdr:row>
      <xdr:rowOff>47625</xdr:rowOff>
    </xdr:from>
    <xdr:to>
      <xdr:col>10</xdr:col>
      <xdr:colOff>371475</xdr:colOff>
      <xdr:row>19</xdr:row>
      <xdr:rowOff>123825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B069035-04D9-4779-81AF-ED07251DC6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1000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11</xdr:col>
      <xdr:colOff>38100</xdr:colOff>
      <xdr:row>5</xdr:row>
      <xdr:rowOff>47625</xdr:rowOff>
    </xdr:from>
    <xdr:to>
      <xdr:col>18</xdr:col>
      <xdr:colOff>342900</xdr:colOff>
      <xdr:row>19</xdr:row>
      <xdr:rowOff>123825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2" name="Gráfico 11">
              <a:extLst>
                <a:ext uri="{FF2B5EF4-FFF2-40B4-BE49-F238E27FC236}">
                  <a16:creationId xmlns:a16="http://schemas.microsoft.com/office/drawing/2014/main" id="{58C47404-1BFA-47BC-B0F9-DF2F58FF8B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43700" y="1000125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173831</xdr:colOff>
      <xdr:row>5</xdr:row>
      <xdr:rowOff>123826</xdr:rowOff>
    </xdr:from>
    <xdr:to>
      <xdr:col>2</xdr:col>
      <xdr:colOff>383381</xdr:colOff>
      <xdr:row>9</xdr:row>
      <xdr:rowOff>142875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485932BD-74A7-77CF-561A-D852CED5F2BE}"/>
            </a:ext>
          </a:extLst>
        </xdr:cNvPr>
        <xdr:cNvGrpSpPr/>
      </xdr:nvGrpSpPr>
      <xdr:grpSpPr>
        <a:xfrm>
          <a:off x="173831" y="1076326"/>
          <a:ext cx="1428750" cy="781049"/>
          <a:chOff x="173831" y="1076326"/>
          <a:chExt cx="1428750" cy="781049"/>
        </a:xfrm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984FD33-725F-2CB5-1608-33275AB0AC46}"/>
              </a:ext>
            </a:extLst>
          </xdr:cNvPr>
          <xdr:cNvSpPr/>
        </xdr:nvSpPr>
        <xdr:spPr>
          <a:xfrm>
            <a:off x="173831" y="1095375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2">
        <xdr:nvSpPr>
          <xdr:cNvPr id="5" name="Retângulo 4">
            <a:extLst>
              <a:ext uri="{FF2B5EF4-FFF2-40B4-BE49-F238E27FC236}">
                <a16:creationId xmlns:a16="http://schemas.microsoft.com/office/drawing/2014/main" id="{A92DF9B0-EAD5-8927-ABEB-487C2FC9B573}"/>
              </a:ext>
            </a:extLst>
          </xdr:cNvPr>
          <xdr:cNvSpPr/>
        </xdr:nvSpPr>
        <xdr:spPr>
          <a:xfrm>
            <a:off x="244078" y="1490663"/>
            <a:ext cx="4572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816B8F1-DB5A-4936-90D0-8E7ADCA1C810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32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2">
        <xdr:nvSpPr>
          <xdr:cNvPr id="13" name="Retângulo 12">
            <a:extLst>
              <a:ext uri="{FF2B5EF4-FFF2-40B4-BE49-F238E27FC236}">
                <a16:creationId xmlns:a16="http://schemas.microsoft.com/office/drawing/2014/main" id="{D7B3DA06-EBA2-5D6A-203C-E1FA71086F0C}"/>
              </a:ext>
            </a:extLst>
          </xdr:cNvPr>
          <xdr:cNvSpPr/>
        </xdr:nvSpPr>
        <xdr:spPr>
          <a:xfrm>
            <a:off x="777477" y="1490664"/>
            <a:ext cx="704851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9150B64-6C30-4824-8222-793942B1A010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pPr algn="ctr"/>
              <a:t>5,76%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16" name="Retângulo 15">
            <a:extLst>
              <a:ext uri="{FF2B5EF4-FFF2-40B4-BE49-F238E27FC236}">
                <a16:creationId xmlns:a16="http://schemas.microsoft.com/office/drawing/2014/main" id="{98D516C1-0256-9537-F2B4-E1B88511ACAC}"/>
              </a:ext>
            </a:extLst>
          </xdr:cNvPr>
          <xdr:cNvSpPr/>
        </xdr:nvSpPr>
        <xdr:spPr>
          <a:xfrm>
            <a:off x="202407" y="1076326"/>
            <a:ext cx="1371599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1" u="sng" strike="noStrike">
                <a:solidFill>
                  <a:srgbClr val="FF0000"/>
                </a:solidFill>
                <a:latin typeface="Calibri"/>
                <a:cs typeface="Calibri"/>
              </a:rPr>
              <a:t>Removidos</a:t>
            </a:r>
          </a:p>
        </xdr:txBody>
      </xdr:sp>
    </xdr:grpSp>
    <xdr:clientData/>
  </xdr:twoCellAnchor>
  <xdr:twoCellAnchor editAs="absolute">
    <xdr:from>
      <xdr:col>0</xdr:col>
      <xdr:colOff>173831</xdr:colOff>
      <xdr:row>10</xdr:row>
      <xdr:rowOff>95251</xdr:rowOff>
    </xdr:from>
    <xdr:to>
      <xdr:col>2</xdr:col>
      <xdr:colOff>383381</xdr:colOff>
      <xdr:row>14</xdr:row>
      <xdr:rowOff>114300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4BBF276-56BE-8DEF-744D-9B069032316A}"/>
            </a:ext>
          </a:extLst>
        </xdr:cNvPr>
        <xdr:cNvGrpSpPr/>
      </xdr:nvGrpSpPr>
      <xdr:grpSpPr>
        <a:xfrm>
          <a:off x="173831" y="2000251"/>
          <a:ext cx="1428750" cy="781049"/>
          <a:chOff x="173831" y="2000251"/>
          <a:chExt cx="1428750" cy="781049"/>
        </a:xfrm>
      </xdr:grpSpPr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E47FA03C-56E1-9CB8-ECA1-1979F0BAE5F4}"/>
              </a:ext>
            </a:extLst>
          </xdr:cNvPr>
          <xdr:cNvSpPr/>
        </xdr:nvSpPr>
        <xdr:spPr>
          <a:xfrm>
            <a:off x="173831" y="2019300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3">
        <xdr:nvSpPr>
          <xdr:cNvPr id="22" name="Retângulo 21">
            <a:extLst>
              <a:ext uri="{FF2B5EF4-FFF2-40B4-BE49-F238E27FC236}">
                <a16:creationId xmlns:a16="http://schemas.microsoft.com/office/drawing/2014/main" id="{9A19EAE4-7243-B979-E78C-840A0AE9955A}"/>
              </a:ext>
            </a:extLst>
          </xdr:cNvPr>
          <xdr:cNvSpPr/>
        </xdr:nvSpPr>
        <xdr:spPr>
          <a:xfrm>
            <a:off x="225028" y="2414588"/>
            <a:ext cx="4953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20FB27-8143-4D42-A59A-9343E81895F7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t>520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3">
        <xdr:nvSpPr>
          <xdr:cNvPr id="23" name="Retângulo 22">
            <a:extLst>
              <a:ext uri="{FF2B5EF4-FFF2-40B4-BE49-F238E27FC236}">
                <a16:creationId xmlns:a16="http://schemas.microsoft.com/office/drawing/2014/main" id="{D7B96F45-59C5-4E0B-C869-91194D68C53C}"/>
              </a:ext>
            </a:extLst>
          </xdr:cNvPr>
          <xdr:cNvSpPr/>
        </xdr:nvSpPr>
        <xdr:spPr>
          <a:xfrm>
            <a:off x="777477" y="2414589"/>
            <a:ext cx="704851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EEAA154-F6DD-48DC-BF29-34B74A6175A6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t>93,53%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62372504-338E-8701-7E13-6B2D83903AF2}"/>
              </a:ext>
            </a:extLst>
          </xdr:cNvPr>
          <xdr:cNvSpPr/>
        </xdr:nvSpPr>
        <xdr:spPr>
          <a:xfrm>
            <a:off x="450056" y="2000251"/>
            <a:ext cx="876300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i="1" u="sng" strike="noStrike">
                <a:solidFill>
                  <a:srgbClr val="03A9F4"/>
                </a:solidFill>
                <a:latin typeface="Calibri"/>
                <a:cs typeface="Calibri"/>
              </a:rPr>
              <a:t>Novos</a:t>
            </a:r>
          </a:p>
        </xdr:txBody>
      </xdr:sp>
    </xdr:grpSp>
    <xdr:clientData/>
  </xdr:twoCellAnchor>
  <xdr:twoCellAnchor editAs="absolute">
    <xdr:from>
      <xdr:col>0</xdr:col>
      <xdr:colOff>176212</xdr:colOff>
      <xdr:row>15</xdr:row>
      <xdr:rowOff>47626</xdr:rowOff>
    </xdr:from>
    <xdr:to>
      <xdr:col>2</xdr:col>
      <xdr:colOff>385762</xdr:colOff>
      <xdr:row>19</xdr:row>
      <xdr:rowOff>66675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5F157705-A588-4826-7AAC-32405045F502}"/>
            </a:ext>
          </a:extLst>
        </xdr:cNvPr>
        <xdr:cNvGrpSpPr/>
      </xdr:nvGrpSpPr>
      <xdr:grpSpPr>
        <a:xfrm>
          <a:off x="176212" y="2905126"/>
          <a:ext cx="1428750" cy="781049"/>
          <a:chOff x="176212" y="2905126"/>
          <a:chExt cx="1428750" cy="781049"/>
        </a:xfrm>
      </xdr:grpSpPr>
      <xdr:sp macro="" textlink="">
        <xdr:nvSpPr>
          <xdr:cNvPr id="26" name="Retângulo: Cantos Arredondados 25">
            <a:extLst>
              <a:ext uri="{FF2B5EF4-FFF2-40B4-BE49-F238E27FC236}">
                <a16:creationId xmlns:a16="http://schemas.microsoft.com/office/drawing/2014/main" id="{FE347FD8-D9C6-33E9-233A-6CDD916DDD0D}"/>
              </a:ext>
            </a:extLst>
          </xdr:cNvPr>
          <xdr:cNvSpPr/>
        </xdr:nvSpPr>
        <xdr:spPr>
          <a:xfrm>
            <a:off x="176212" y="2924175"/>
            <a:ext cx="1428750" cy="762000"/>
          </a:xfrm>
          <a:prstGeom prst="roundRect">
            <a:avLst/>
          </a:prstGeom>
          <a:noFill/>
          <a:ln>
            <a:solidFill>
              <a:srgbClr val="B6B7B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KPI Values'!B4">
        <xdr:nvSpPr>
          <xdr:cNvPr id="27" name="Retângulo 26">
            <a:extLst>
              <a:ext uri="{FF2B5EF4-FFF2-40B4-BE49-F238E27FC236}">
                <a16:creationId xmlns:a16="http://schemas.microsoft.com/office/drawing/2014/main" id="{C0F1F9ED-6373-0817-F9F3-5060759A5225}"/>
              </a:ext>
            </a:extLst>
          </xdr:cNvPr>
          <xdr:cNvSpPr/>
        </xdr:nvSpPr>
        <xdr:spPr>
          <a:xfrm>
            <a:off x="225028" y="3319463"/>
            <a:ext cx="495300" cy="2667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772C68-521C-42A2-A870-912125D9DBDB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t>4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'KPI Values'!C4">
        <xdr:nvSpPr>
          <xdr:cNvPr id="28" name="Retângulo 27">
            <a:extLst>
              <a:ext uri="{FF2B5EF4-FFF2-40B4-BE49-F238E27FC236}">
                <a16:creationId xmlns:a16="http://schemas.microsoft.com/office/drawing/2014/main" id="{A8642901-7A3C-8FC3-F74A-F8BC2D492CA6}"/>
              </a:ext>
            </a:extLst>
          </xdr:cNvPr>
          <xdr:cNvSpPr/>
        </xdr:nvSpPr>
        <xdr:spPr>
          <a:xfrm>
            <a:off x="777477" y="3319464"/>
            <a:ext cx="704851" cy="26669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8402F5C-21EF-4808-9D44-B0AB5FC4C029}" type="TxLink">
              <a:rPr lang="en-US" sz="1500" b="0" i="0" u="none" strike="noStrike">
                <a:solidFill>
                  <a:srgbClr val="B6B7BC"/>
                </a:solidFill>
                <a:latin typeface="Calibri"/>
                <a:cs typeface="Calibri"/>
              </a:rPr>
              <a:t>0,72%</a:t>
            </a:fld>
            <a:endParaRPr lang="pt-BR" sz="1500">
              <a:solidFill>
                <a:srgbClr val="B6B7BC"/>
              </a:solidFill>
            </a:endParaRPr>
          </a:p>
        </xdr:txBody>
      </xdr:sp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E826824-0643-2C09-AB8B-178437C8E9C1}"/>
              </a:ext>
            </a:extLst>
          </xdr:cNvPr>
          <xdr:cNvSpPr/>
        </xdr:nvSpPr>
        <xdr:spPr>
          <a:xfrm>
            <a:off x="204787" y="2905126"/>
            <a:ext cx="1371600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i="1" u="sng" strike="noStrike">
                <a:solidFill>
                  <a:srgbClr val="03A9F4"/>
                </a:solidFill>
                <a:latin typeface="Calibri"/>
                <a:cs typeface="Calibri"/>
              </a:rPr>
              <a:t>Mudaram</a:t>
            </a:r>
          </a:p>
        </xdr:txBody>
      </xdr:sp>
    </xdr:grpSp>
    <xdr:clientData/>
  </xdr:twoCellAnchor>
  <xdr:twoCellAnchor editAs="absolute">
    <xdr:from>
      <xdr:col>4</xdr:col>
      <xdr:colOff>276225</xdr:colOff>
      <xdr:row>21</xdr:row>
      <xdr:rowOff>145256</xdr:rowOff>
    </xdr:from>
    <xdr:to>
      <xdr:col>10</xdr:col>
      <xdr:colOff>180975</xdr:colOff>
      <xdr:row>34</xdr:row>
      <xdr:rowOff>159544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E58A8A0A-C390-46CC-A779-601D10AC7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133350</xdr:colOff>
      <xdr:row>21</xdr:row>
      <xdr:rowOff>19050</xdr:rowOff>
    </xdr:from>
    <xdr:to>
      <xdr:col>18</xdr:col>
      <xdr:colOff>438150</xdr:colOff>
      <xdr:row>35</xdr:row>
      <xdr:rowOff>95250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4506A870-287F-4319-8B3E-6476F6D26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1</xdr:col>
      <xdr:colOff>941387</xdr:colOff>
      <xdr:row>3</xdr:row>
      <xdr:rowOff>152400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D405D992-A1D0-4881-96AD-7A31F6E7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1381125</xdr:colOff>
      <xdr:row>0</xdr:row>
      <xdr:rowOff>190499</xdr:rowOff>
    </xdr:from>
    <xdr:to>
      <xdr:col>3</xdr:col>
      <xdr:colOff>465604</xdr:colOff>
      <xdr:row>3</xdr:row>
      <xdr:rowOff>114299</xdr:rowOff>
    </xdr:to>
    <xdr:sp macro="" textlink="">
      <xdr:nvSpPr>
        <xdr:cNvPr id="23" name="Retângulo: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7854350-98E9-4BB7-AD79-E252F2DD05C5}"/>
            </a:ext>
          </a:extLst>
        </xdr:cNvPr>
        <xdr:cNvSpPr/>
      </xdr:nvSpPr>
      <xdr:spPr>
        <a:xfrm>
          <a:off x="1990725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3</xdr:col>
      <xdr:colOff>796227</xdr:colOff>
      <xdr:row>0</xdr:row>
      <xdr:rowOff>190499</xdr:rowOff>
    </xdr:from>
    <xdr:to>
      <xdr:col>5</xdr:col>
      <xdr:colOff>376006</xdr:colOff>
      <xdr:row>3</xdr:row>
      <xdr:rowOff>114299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8DDA93-125C-4618-8827-41E02746AB91}"/>
            </a:ext>
          </a:extLst>
        </xdr:cNvPr>
        <xdr:cNvSpPr/>
      </xdr:nvSpPr>
      <xdr:spPr>
        <a:xfrm>
          <a:off x="3787077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6</xdr:col>
      <xdr:colOff>97029</xdr:colOff>
      <xdr:row>0</xdr:row>
      <xdr:rowOff>190499</xdr:rowOff>
    </xdr:from>
    <xdr:to>
      <xdr:col>8</xdr:col>
      <xdr:colOff>338698</xdr:colOff>
      <xdr:row>3</xdr:row>
      <xdr:rowOff>114299</xdr:rowOff>
    </xdr:to>
    <xdr:sp macro="[0]!AddBase.AddBas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FE5B8F6D-504A-4F4B-BF4F-9D5270C7CB44}"/>
            </a:ext>
          </a:extLst>
        </xdr:cNvPr>
        <xdr:cNvSpPr/>
      </xdr:nvSpPr>
      <xdr:spPr>
        <a:xfrm>
          <a:off x="5583429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9</xdr:col>
      <xdr:colOff>59721</xdr:colOff>
      <xdr:row>0</xdr:row>
      <xdr:rowOff>190499</xdr:rowOff>
    </xdr:from>
    <xdr:to>
      <xdr:col>11</xdr:col>
      <xdr:colOff>301390</xdr:colOff>
      <xdr:row>3</xdr:row>
      <xdr:rowOff>114299</xdr:rowOff>
    </xdr:to>
    <xdr:sp macro="[0]!EditBaseForm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CE6BBB99-FE1D-4552-A138-DA0F15E55BD2}"/>
            </a:ext>
          </a:extLst>
        </xdr:cNvPr>
        <xdr:cNvSpPr/>
      </xdr:nvSpPr>
      <xdr:spPr>
        <a:xfrm>
          <a:off x="7374921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12</xdr:col>
      <xdr:colOff>22412</xdr:colOff>
      <xdr:row>0</xdr:row>
      <xdr:rowOff>190499</xdr:rowOff>
    </xdr:from>
    <xdr:to>
      <xdr:col>14</xdr:col>
      <xdr:colOff>268941</xdr:colOff>
      <xdr:row>3</xdr:row>
      <xdr:rowOff>114299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0D3E1D-9EF7-4022-BD74-483BD6F00AE4}"/>
            </a:ext>
          </a:extLst>
        </xdr:cNvPr>
        <xdr:cNvSpPr/>
      </xdr:nvSpPr>
      <xdr:spPr>
        <a:xfrm>
          <a:off x="9166412" y="190499"/>
          <a:ext cx="1465729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15</xdr:col>
      <xdr:colOff>0</xdr:colOff>
      <xdr:row>1</xdr:row>
      <xdr:rowOff>0</xdr:rowOff>
    </xdr:from>
    <xdr:to>
      <xdr:col>17</xdr:col>
      <xdr:colOff>246529</xdr:colOff>
      <xdr:row>3</xdr:row>
      <xdr:rowOff>114300</xdr:rowOff>
    </xdr:to>
    <xdr:sp macro="[0]!ClearBase.ClearBase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4FE2B881-6657-4931-B99B-5682A01ED06C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Excluir Base</a:t>
          </a:r>
          <a:endParaRPr lang="pt-BR" sz="1500" b="1"/>
        </a:p>
      </xdr:txBody>
    </xdr:sp>
    <xdr:clientData/>
  </xdr:twoCellAnchor>
  <xdr:twoCellAnchor editAs="absolute">
    <xdr:from>
      <xdr:col>4</xdr:col>
      <xdr:colOff>47625</xdr:colOff>
      <xdr:row>5</xdr:row>
      <xdr:rowOff>28576</xdr:rowOff>
    </xdr:from>
    <xdr:to>
      <xdr:col>7</xdr:col>
      <xdr:colOff>47625</xdr:colOff>
      <xdr:row>9</xdr:row>
      <xdr:rowOff>161926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tatus">
              <a:extLst>
                <a:ext uri="{FF2B5EF4-FFF2-40B4-BE49-F238E27FC236}">
                  <a16:creationId xmlns:a16="http://schemas.microsoft.com/office/drawing/2014/main" id="{CCA02195-1AD7-038D-FD3F-697BCD8E7C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4825" y="981076"/>
              <a:ext cx="1828800" cy="895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0</xdr:row>
      <xdr:rowOff>57150</xdr:rowOff>
    </xdr:from>
    <xdr:to>
      <xdr:col>0</xdr:col>
      <xdr:colOff>1550987</xdr:colOff>
      <xdr:row>3</xdr:row>
      <xdr:rowOff>152400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66A3A26A-5703-47BA-B605-C2F8752AA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57150"/>
          <a:ext cx="1436687" cy="666750"/>
        </a:xfrm>
        <a:prstGeom prst="rect">
          <a:avLst/>
        </a:prstGeom>
      </xdr:spPr>
    </xdr:pic>
    <xdr:clientData/>
  </xdr:twoCellAnchor>
  <xdr:twoCellAnchor editAs="absolute">
    <xdr:from>
      <xdr:col>0</xdr:col>
      <xdr:colOff>1990725</xdr:colOff>
      <xdr:row>0</xdr:row>
      <xdr:rowOff>190499</xdr:rowOff>
    </xdr:from>
    <xdr:to>
      <xdr:col>1</xdr:col>
      <xdr:colOff>827554</xdr:colOff>
      <xdr:row>3</xdr:row>
      <xdr:rowOff>114299</xdr:rowOff>
    </xdr:to>
    <xdr:sp macro="" textlink="">
      <xdr:nvSpPr>
        <xdr:cNvPr id="23" name="Retângulo: Cantos Arredondados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265B5FA-452D-47BD-A53F-ACCE38B4CC78}"/>
            </a:ext>
          </a:extLst>
        </xdr:cNvPr>
        <xdr:cNvSpPr/>
      </xdr:nvSpPr>
      <xdr:spPr>
        <a:xfrm>
          <a:off x="1990725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Home</a:t>
          </a:r>
        </a:p>
      </xdr:txBody>
    </xdr:sp>
    <xdr:clientData/>
  </xdr:twoCellAnchor>
  <xdr:twoCellAnchor editAs="absolute">
    <xdr:from>
      <xdr:col>1</xdr:col>
      <xdr:colOff>1158177</xdr:colOff>
      <xdr:row>0</xdr:row>
      <xdr:rowOff>190499</xdr:rowOff>
    </xdr:from>
    <xdr:to>
      <xdr:col>3</xdr:col>
      <xdr:colOff>318856</xdr:colOff>
      <xdr:row>3</xdr:row>
      <xdr:rowOff>114299</xdr:rowOff>
    </xdr:to>
    <xdr:sp macro="" textlink="">
      <xdr:nvSpPr>
        <xdr:cNvPr id="24" name="Retângulo: Cantos Arredondados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89CFF4-D6CE-4CCC-B4F7-BCD7E3279CA0}"/>
            </a:ext>
          </a:extLst>
        </xdr:cNvPr>
        <xdr:cNvSpPr/>
      </xdr:nvSpPr>
      <xdr:spPr>
        <a:xfrm>
          <a:off x="3787077" y="190499"/>
          <a:ext cx="146572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Base Dados</a:t>
          </a:r>
        </a:p>
      </xdr:txBody>
    </xdr:sp>
    <xdr:clientData/>
  </xdr:twoCellAnchor>
  <xdr:twoCellAnchor editAs="absolute">
    <xdr:from>
      <xdr:col>3</xdr:col>
      <xdr:colOff>649479</xdr:colOff>
      <xdr:row>0</xdr:row>
      <xdr:rowOff>190499</xdr:rowOff>
    </xdr:from>
    <xdr:to>
      <xdr:col>4</xdr:col>
      <xdr:colOff>853048</xdr:colOff>
      <xdr:row>3</xdr:row>
      <xdr:rowOff>114299</xdr:rowOff>
    </xdr:to>
    <xdr:sp macro="[0]!AddBase.AddBase" textlink="">
      <xdr:nvSpPr>
        <xdr:cNvPr id="25" name="Retângulo: Cantos Arredondados 24">
          <a:extLst>
            <a:ext uri="{FF2B5EF4-FFF2-40B4-BE49-F238E27FC236}">
              <a16:creationId xmlns:a16="http://schemas.microsoft.com/office/drawing/2014/main" id="{C39ED72F-9F83-49FC-99C9-57B72B17941D}"/>
            </a:ext>
          </a:extLst>
        </xdr:cNvPr>
        <xdr:cNvSpPr/>
      </xdr:nvSpPr>
      <xdr:spPr>
        <a:xfrm>
          <a:off x="5583429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Adicionar Base</a:t>
          </a:r>
        </a:p>
      </xdr:txBody>
    </xdr:sp>
    <xdr:clientData/>
  </xdr:twoCellAnchor>
  <xdr:twoCellAnchor editAs="absolute">
    <xdr:from>
      <xdr:col>4</xdr:col>
      <xdr:colOff>1183671</xdr:colOff>
      <xdr:row>0</xdr:row>
      <xdr:rowOff>190499</xdr:rowOff>
    </xdr:from>
    <xdr:to>
      <xdr:col>7</xdr:col>
      <xdr:colOff>148990</xdr:colOff>
      <xdr:row>3</xdr:row>
      <xdr:rowOff>114299</xdr:rowOff>
    </xdr:to>
    <xdr:sp macro="[0]!EditBaseForm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695FC759-3123-4843-8F1E-5F911B3C5489}"/>
            </a:ext>
          </a:extLst>
        </xdr:cNvPr>
        <xdr:cNvSpPr/>
      </xdr:nvSpPr>
      <xdr:spPr>
        <a:xfrm>
          <a:off x="7374921" y="190499"/>
          <a:ext cx="1460869" cy="495300"/>
        </a:xfrm>
        <a:prstGeom prst="roundRect">
          <a:avLst/>
        </a:prstGeom>
        <a:solidFill>
          <a:srgbClr val="03A9F4"/>
        </a:solidFill>
        <a:ln>
          <a:solidFill>
            <a:srgbClr val="B6B7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i="1"/>
            <a:t>Editar Base</a:t>
          </a:r>
        </a:p>
      </xdr:txBody>
    </xdr:sp>
    <xdr:clientData/>
  </xdr:twoCellAnchor>
  <xdr:twoCellAnchor editAs="absolute">
    <xdr:from>
      <xdr:col>7</xdr:col>
      <xdr:colOff>479612</xdr:colOff>
      <xdr:row>0</xdr:row>
      <xdr:rowOff>190499</xdr:rowOff>
    </xdr:from>
    <xdr:to>
      <xdr:col>10</xdr:col>
      <xdr:colOff>116541</xdr:colOff>
      <xdr:row>3</xdr:row>
      <xdr:rowOff>114299</xdr:rowOff>
    </xdr:to>
    <xdr:sp macro="" textlink="">
      <xdr:nvSpPr>
        <xdr:cNvPr id="27" name="Retângulo: Canto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19B37B6-2EBC-438C-9E03-699AE5538759}"/>
            </a:ext>
          </a:extLst>
        </xdr:cNvPr>
        <xdr:cNvSpPr/>
      </xdr:nvSpPr>
      <xdr:spPr>
        <a:xfrm>
          <a:off x="9166412" y="190499"/>
          <a:ext cx="1465729" cy="495300"/>
        </a:xfrm>
        <a:prstGeom prst="roundRect">
          <a:avLst/>
        </a:prstGeom>
        <a:solidFill>
          <a:srgbClr val="03A9F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/>
            <a:t>Atualizações</a:t>
          </a:r>
        </a:p>
      </xdr:txBody>
    </xdr:sp>
    <xdr:clientData/>
  </xdr:twoCellAnchor>
  <xdr:twoCellAnchor editAs="absolute">
    <xdr:from>
      <xdr:col>10</xdr:col>
      <xdr:colOff>457200</xdr:colOff>
      <xdr:row>1</xdr:row>
      <xdr:rowOff>0</xdr:rowOff>
    </xdr:from>
    <xdr:to>
      <xdr:col>13</xdr:col>
      <xdr:colOff>94129</xdr:colOff>
      <xdr:row>3</xdr:row>
      <xdr:rowOff>114300</xdr:rowOff>
    </xdr:to>
    <xdr:sp macro="[0]!ClearBase.ClearBase" textlink="">
      <xdr:nvSpPr>
        <xdr:cNvPr id="28" name="Retângulo: Cantos Arredondados 27">
          <a:extLst>
            <a:ext uri="{FF2B5EF4-FFF2-40B4-BE49-F238E27FC236}">
              <a16:creationId xmlns:a16="http://schemas.microsoft.com/office/drawing/2014/main" id="{9CCA8D7C-85A3-483F-B44F-32E5A9CB92B3}"/>
            </a:ext>
          </a:extLst>
        </xdr:cNvPr>
        <xdr:cNvSpPr/>
      </xdr:nvSpPr>
      <xdr:spPr>
        <a:xfrm>
          <a:off x="10972800" y="190500"/>
          <a:ext cx="1465729" cy="495300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500" b="1" baseline="0"/>
            <a:t>Excluir Base</a:t>
          </a:r>
          <a:endParaRPr lang="pt-BR" sz="1500" b="1"/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tatus" xr10:uid="{E8A8A6A7-AF0E-48C7-BF8A-1F43A9C4E5BF}" sourceName="Status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tatus" xr10:uid="{BDA87E36-41A1-46F7-AC10-197290815644}" cache="SegmentaçãodeDados_Status" caption="Status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C69858-5B97-4D49-9C4B-4CE7C57C19C3}" name="DataBase" displayName="DataBase" ref="A6:D563" totalsRowShown="0">
  <autoFilter ref="A6:D563" xr:uid="{91C69858-5B97-4D49-9C4B-4CE7C57C19C3}"/>
  <tableColumns count="4">
    <tableColumn id="3" xr3:uid="{5AC9C047-79B2-4C56-BCA1-94020C7F9EA0}" name="ID" dataDxfId="16"/>
    <tableColumn id="4" xr3:uid="{6A26401E-1C11-4517-883C-B56F86C1AA3E}" name="Processo" dataDxfId="2" dataCellStyle="Vírgula"/>
    <tableColumn id="5" xr3:uid="{4A631836-2522-4AA8-9083-2B1434C922D0}" name="Status" dataDxfId="15" dataCellStyle="Vírgula"/>
    <tableColumn id="6" xr3:uid="{600D6489-AA7A-4EE0-B08D-DEFCFEEA1E12}" name="Valor do Processo" dataDxfId="1" dataCellStyle="Vírgul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537974-496C-4091-9646-E41C4A50997E}" name="Historico" displayName="Historico" ref="A6:E7" totalsRowShown="0" headerRowDxfId="14" dataDxfId="13">
  <autoFilter ref="A6:E7" xr:uid="{36537974-496C-4091-9646-E41C4A50997E}"/>
  <tableColumns count="5">
    <tableColumn id="1" xr3:uid="{D647F9E3-F470-4643-951E-69293CC2D432}" name="Caminho do arquivo adicionado" dataDxfId="12"/>
    <tableColumn id="5" xr3:uid="{4CC4E5F3-A33F-4A77-B097-6AAF51249908}" name="Nome do arquivo" dataDxfId="11"/>
    <tableColumn id="2" xr3:uid="{0DB50EB8-E2F2-4F90-9899-5050F87E9271}" name="Data" dataDxfId="10"/>
    <tableColumn id="4" xr3:uid="{77C579B2-A491-4E19-8768-DACF47E78496}" name="numero de linhas" dataDxfId="9"/>
    <tableColumn id="3" xr3:uid="{65DB586B-5001-4421-872E-7541BCCFF655}" name="célula de inclusão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6864963-E8E3-4B45-8B2B-CBBFED7D70E4}" name="ChartTable" displayName="ChartTable" ref="A1:I557" totalsRowShown="0">
  <autoFilter ref="A1:I557" xr:uid="{A6864963-E8E3-4B45-8B2B-CBBFED7D70E4}"/>
  <tableColumns count="9">
    <tableColumn id="2" xr3:uid="{C6724F51-3998-4221-BC81-DD1C55F56245}" name="Processo"/>
    <tableColumn id="5" xr3:uid="{124F3A4D-2126-4658-A3D3-AEDE2A574E22}" name="Valor Ativo" dataCellStyle="Moeda"/>
    <tableColumn id="6" xr3:uid="{C71DFC7A-06E1-4EC7-AD10-6590EB18E74A}" name="Valor Encerrado" dataCellStyle="Moeda"/>
    <tableColumn id="7" xr3:uid="{45240CFF-6ECD-46B8-BECA-3102D6E35C05}" name="Exluido?" dataDxfId="7">
      <calculatedColumnFormula>IF(AND(ChartTable[[#This Row],[Valor Encerrado]]=0, ChartTable[[#This Row],[Valor Ativo]]=""), 1, 0)</calculatedColumnFormula>
    </tableColumn>
    <tableColumn id="8" xr3:uid="{AE4B5DAD-AB3C-45D6-AAB9-D76B1FE94220}" name="Novo?" dataDxfId="0">
      <calculatedColumnFormula>IF(AND(ChartTable[[#This Row],[Valor Ativo]]&lt;&gt;"", ChartTable[[#This Row],[Valor Encerrado]]=""), 1, 0)</calculatedColumnFormula>
    </tableColumn>
    <tableColumn id="9" xr3:uid="{8A6F1A59-0DB0-4508-BD32-353BBE189DA4}" name="Mudou?" dataDxfId="6">
      <calculatedColumnFormula>IF(AND(ChartTable[[#This Row],[Novo?]]=0, ChartTable[[#This Row],[Valor Ativo]]&lt;&gt;ChartTable[[#This Row],[Valor Encerrado]]), 1, 0)</calculatedColumnFormula>
    </tableColumn>
    <tableColumn id="10" xr3:uid="{98A9E421-1724-4FF2-9C50-B9DAF268EA18}" name="Diferença" dataDxfId="5" dataCellStyle="Moeda">
      <calculatedColumnFormula>IF(ChartTable[[#This Row],[Mudou?]]=1, ChartTable[[#This Row],[Valor Encerrado]]-ChartTable[[#This Row],[Valor Ativo]], "")</calculatedColumnFormula>
    </tableColumn>
    <tableColumn id="11" xr3:uid="{3A71F9E6-1D87-46BA-9F77-F21CF822478A}" name="Situação da Diferença" dataDxfId="4">
      <calculatedColumnFormula>IF(ChartTable[[#This Row],[Mudou?]]=1, IF(ChartTable[[#This Row],[Diferença]]&gt;0, "aumentou", "diminuiu"), "")</calculatedColumnFormula>
    </tableColumn>
    <tableColumn id="12" xr3:uid="{123E71D4-58B6-45FC-AFF7-92E5D268FE9E}" name="Situação" dataDxfId="3">
      <calculatedColumnFormula array="1">_xlfn.IFS(ChartTable[[#This Row],[Exluido?]]=1,"Excluido",ChartTable[[#This Row],[Novo?]]=1, "Novo", ChartTable[[#This Row],[Mudou?]]=1, "Mudou")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FB917-A4AC-4CD5-BA5B-A6A7FE5E0FEF}">
  <sheetPr codeName="Planilha1"/>
  <dimension ref="A1:A32"/>
  <sheetViews>
    <sheetView tabSelected="1" zoomScaleNormal="100" workbookViewId="0">
      <pane ySplit="5" topLeftCell="A6" activePane="bottomLeft" state="frozen"/>
      <selection pane="bottomLeft" activeCell="S27" sqref="S27"/>
    </sheetView>
  </sheetViews>
  <sheetFormatPr defaultColWidth="0" defaultRowHeight="15" x14ac:dyDescent="0.25"/>
  <cols>
    <col min="1" max="21" width="9.140625" style="1" customWidth="1"/>
    <col min="2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2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4D6E5-8412-475A-B729-350566414F98}">
  <sheetPr codeName="Planilha2"/>
  <dimension ref="A1:U563"/>
  <sheetViews>
    <sheetView zoomScaleNormal="100" workbookViewId="0">
      <pane ySplit="5" topLeftCell="A6" activePane="bottomLeft" state="frozen"/>
      <selection pane="bottomLeft" activeCell="J15" sqref="J15"/>
    </sheetView>
  </sheetViews>
  <sheetFormatPr defaultColWidth="0" defaultRowHeight="15" x14ac:dyDescent="0.25"/>
  <cols>
    <col min="1" max="1" width="9.140625" customWidth="1"/>
    <col min="2" max="2" width="24.42578125" bestFit="1" customWidth="1"/>
    <col min="3" max="3" width="11.28515625" bestFit="1" customWidth="1"/>
    <col min="4" max="4" width="19.140625" bestFit="1" customWidth="1"/>
    <col min="5" max="18" width="9.140625" customWidth="1"/>
    <col min="19" max="21" width="9.140625" hidden="1" customWidth="1"/>
  </cols>
  <sheetData>
    <row r="1" spans="1:4" s="1" customFormat="1" x14ac:dyDescent="0.25"/>
    <row r="2" spans="1:4" s="1" customFormat="1" x14ac:dyDescent="0.25"/>
    <row r="3" spans="1:4" s="1" customFormat="1" x14ac:dyDescent="0.25"/>
    <row r="4" spans="1:4" s="1" customFormat="1" x14ac:dyDescent="0.25"/>
    <row r="5" spans="1:4" s="2" customFormat="1" x14ac:dyDescent="0.25"/>
    <row r="6" spans="1:4" x14ac:dyDescent="0.25">
      <c r="A6" t="s">
        <v>0</v>
      </c>
      <c r="B6" t="s">
        <v>1</v>
      </c>
      <c r="C6" t="s">
        <v>2</v>
      </c>
      <c r="D6" t="s">
        <v>3</v>
      </c>
    </row>
    <row r="7" spans="1:4" x14ac:dyDescent="0.25">
      <c r="A7" s="3">
        <v>10001</v>
      </c>
      <c r="B7" s="9" t="s">
        <v>9</v>
      </c>
      <c r="C7" s="4" t="s">
        <v>10</v>
      </c>
      <c r="D7" s="4">
        <v>1234.8399999999999</v>
      </c>
    </row>
    <row r="8" spans="1:4" x14ac:dyDescent="0.25">
      <c r="A8" s="3">
        <v>10002</v>
      </c>
      <c r="B8" s="9" t="s">
        <v>9</v>
      </c>
      <c r="C8" s="4" t="s">
        <v>11</v>
      </c>
      <c r="D8" s="4">
        <v>2296.8024</v>
      </c>
    </row>
    <row r="9" spans="1:4" x14ac:dyDescent="0.25">
      <c r="A9" s="3">
        <v>10003</v>
      </c>
      <c r="B9" s="9" t="s">
        <v>12</v>
      </c>
      <c r="C9" s="4" t="s">
        <v>10</v>
      </c>
      <c r="D9" s="4">
        <v>4272.0524640000003</v>
      </c>
    </row>
    <row r="10" spans="1:4" x14ac:dyDescent="0.25">
      <c r="A10" s="3">
        <v>10004</v>
      </c>
      <c r="B10" s="9" t="s">
        <v>13</v>
      </c>
      <c r="C10" s="4" t="s">
        <v>10</v>
      </c>
      <c r="D10" s="4">
        <v>7946.0175830400012</v>
      </c>
    </row>
    <row r="11" spans="1:4" x14ac:dyDescent="0.25">
      <c r="A11" s="3">
        <v>10005</v>
      </c>
      <c r="B11" s="9" t="s">
        <v>14</v>
      </c>
      <c r="C11" s="4" t="s">
        <v>10</v>
      </c>
      <c r="D11" s="4">
        <v>14779.592704454402</v>
      </c>
    </row>
    <row r="12" spans="1:4" x14ac:dyDescent="0.25">
      <c r="A12" s="3">
        <v>10006</v>
      </c>
      <c r="B12" s="9" t="s">
        <v>15</v>
      </c>
      <c r="C12" s="4" t="s">
        <v>10</v>
      </c>
      <c r="D12" s="4">
        <v>27490.04243028519</v>
      </c>
    </row>
    <row r="13" spans="1:4" x14ac:dyDescent="0.25">
      <c r="A13" s="3">
        <v>10007</v>
      </c>
      <c r="B13" s="9" t="s">
        <v>16</v>
      </c>
      <c r="C13" s="4" t="s">
        <v>10</v>
      </c>
      <c r="D13" s="4">
        <v>51131.478920330454</v>
      </c>
    </row>
    <row r="14" spans="1:4" x14ac:dyDescent="0.25">
      <c r="A14" s="3">
        <v>10008</v>
      </c>
      <c r="B14" s="9" t="s">
        <v>17</v>
      </c>
      <c r="C14" s="4" t="s">
        <v>10</v>
      </c>
      <c r="D14" s="4">
        <v>95104.550791814647</v>
      </c>
    </row>
    <row r="15" spans="1:4" x14ac:dyDescent="0.25">
      <c r="A15" s="3">
        <v>10009</v>
      </c>
      <c r="B15" s="9" t="s">
        <v>18</v>
      </c>
      <c r="C15" s="4" t="s">
        <v>10</v>
      </c>
      <c r="D15" s="4">
        <v>176894.46447277526</v>
      </c>
    </row>
    <row r="16" spans="1:4" x14ac:dyDescent="0.25">
      <c r="A16" s="3">
        <v>10010</v>
      </c>
      <c r="B16" s="9" t="s">
        <v>19</v>
      </c>
      <c r="C16" s="4" t="s">
        <v>10</v>
      </c>
      <c r="D16" s="4">
        <v>329023.70391936199</v>
      </c>
    </row>
    <row r="17" spans="1:4" x14ac:dyDescent="0.25">
      <c r="A17" s="3">
        <v>10011</v>
      </c>
      <c r="B17" s="9" t="s">
        <v>20</v>
      </c>
      <c r="C17" s="4" t="s">
        <v>10</v>
      </c>
      <c r="D17" s="4">
        <v>611984.0892900133</v>
      </c>
    </row>
    <row r="18" spans="1:4" x14ac:dyDescent="0.25">
      <c r="A18" s="3">
        <v>10012</v>
      </c>
      <c r="B18" s="9" t="s">
        <v>21</v>
      </c>
      <c r="C18" s="4" t="s">
        <v>10</v>
      </c>
      <c r="D18" s="4">
        <v>1138290.4060794248</v>
      </c>
    </row>
    <row r="19" spans="1:4" x14ac:dyDescent="0.25">
      <c r="A19" s="3">
        <v>10013</v>
      </c>
      <c r="B19" s="9" t="s">
        <v>22</v>
      </c>
      <c r="C19" s="4" t="s">
        <v>10</v>
      </c>
      <c r="D19" s="4">
        <v>2117220.1553077302</v>
      </c>
    </row>
    <row r="20" spans="1:4" x14ac:dyDescent="0.25">
      <c r="A20" s="3">
        <v>10014</v>
      </c>
      <c r="B20" s="9" t="s">
        <v>23</v>
      </c>
      <c r="C20" s="4" t="s">
        <v>10</v>
      </c>
      <c r="D20" s="4">
        <v>3938029.4888723786</v>
      </c>
    </row>
    <row r="21" spans="1:4" x14ac:dyDescent="0.25">
      <c r="A21" s="3">
        <v>10015</v>
      </c>
      <c r="B21" s="9" t="s">
        <v>24</v>
      </c>
      <c r="C21" s="4" t="s">
        <v>10</v>
      </c>
      <c r="D21" s="4">
        <v>7324734.8493026244</v>
      </c>
    </row>
    <row r="22" spans="1:4" x14ac:dyDescent="0.25">
      <c r="A22" s="3">
        <v>10016</v>
      </c>
      <c r="B22" s="9" t="s">
        <v>25</v>
      </c>
      <c r="C22" s="4" t="s">
        <v>10</v>
      </c>
      <c r="D22" s="4">
        <v>13624006.819702882</v>
      </c>
    </row>
    <row r="23" spans="1:4" x14ac:dyDescent="0.25">
      <c r="A23" s="3">
        <v>10017</v>
      </c>
      <c r="B23" s="9" t="s">
        <v>26</v>
      </c>
      <c r="C23" s="4" t="s">
        <v>10</v>
      </c>
      <c r="D23" s="4">
        <v>25340652.684647363</v>
      </c>
    </row>
    <row r="24" spans="1:4" x14ac:dyDescent="0.25">
      <c r="A24" s="3">
        <v>10018</v>
      </c>
      <c r="B24" s="9" t="s">
        <v>27</v>
      </c>
      <c r="C24" s="4" t="s">
        <v>10</v>
      </c>
      <c r="D24" s="4">
        <v>47133613.9934441</v>
      </c>
    </row>
    <row r="25" spans="1:4" x14ac:dyDescent="0.25">
      <c r="A25" s="3">
        <v>10019</v>
      </c>
      <c r="B25" s="9" t="s">
        <v>28</v>
      </c>
      <c r="C25" s="4" t="s">
        <v>10</v>
      </c>
      <c r="D25" s="4">
        <v>87668522.027806029</v>
      </c>
    </row>
    <row r="26" spans="1:4" x14ac:dyDescent="0.25">
      <c r="A26" s="3">
        <v>10020</v>
      </c>
      <c r="B26" s="9" t="s">
        <v>29</v>
      </c>
      <c r="C26" s="4" t="s">
        <v>10</v>
      </c>
      <c r="D26" s="4">
        <v>163063450.97171924</v>
      </c>
    </row>
    <row r="27" spans="1:4" x14ac:dyDescent="0.25">
      <c r="A27" s="3">
        <v>10021</v>
      </c>
      <c r="B27" s="9" t="s">
        <v>30</v>
      </c>
      <c r="C27" s="4" t="s">
        <v>10</v>
      </c>
      <c r="D27" s="4">
        <v>303298018.80739778</v>
      </c>
    </row>
    <row r="28" spans="1:4" x14ac:dyDescent="0.25">
      <c r="A28" s="3">
        <v>10022</v>
      </c>
      <c r="B28" s="9" t="s">
        <v>31</v>
      </c>
      <c r="C28" s="4" t="s">
        <v>10</v>
      </c>
      <c r="D28" s="4">
        <v>168498899.3374432</v>
      </c>
    </row>
    <row r="29" spans="1:4" x14ac:dyDescent="0.25">
      <c r="A29" s="3">
        <v>10023</v>
      </c>
      <c r="B29" s="9" t="s">
        <v>32</v>
      </c>
      <c r="C29" s="4" t="s">
        <v>10</v>
      </c>
      <c r="D29" s="4">
        <v>93610499.631912887</v>
      </c>
    </row>
    <row r="30" spans="1:4" x14ac:dyDescent="0.25">
      <c r="A30" s="3">
        <v>10024</v>
      </c>
      <c r="B30" s="9" t="s">
        <v>33</v>
      </c>
      <c r="C30" s="4" t="s">
        <v>10</v>
      </c>
      <c r="D30" s="4">
        <v>52005833.128840491</v>
      </c>
    </row>
    <row r="31" spans="1:4" x14ac:dyDescent="0.25">
      <c r="A31" s="3">
        <v>10025</v>
      </c>
      <c r="B31" s="9" t="s">
        <v>34</v>
      </c>
      <c r="C31" s="4" t="s">
        <v>10</v>
      </c>
      <c r="D31" s="4">
        <v>28892129.516022496</v>
      </c>
    </row>
    <row r="32" spans="1:4" x14ac:dyDescent="0.25">
      <c r="A32" s="3">
        <v>10026</v>
      </c>
      <c r="B32" s="9" t="s">
        <v>35</v>
      </c>
      <c r="C32" s="4" t="s">
        <v>10</v>
      </c>
      <c r="D32" s="4">
        <v>16051183.064456942</v>
      </c>
    </row>
    <row r="33" spans="1:4" x14ac:dyDescent="0.25">
      <c r="A33" s="3">
        <v>10027</v>
      </c>
      <c r="B33" s="9" t="s">
        <v>36</v>
      </c>
      <c r="C33" s="4" t="s">
        <v>10</v>
      </c>
      <c r="D33" s="4">
        <v>8917323.9246983007</v>
      </c>
    </row>
    <row r="34" spans="1:4" x14ac:dyDescent="0.25">
      <c r="A34" s="3">
        <v>10028</v>
      </c>
      <c r="B34" s="9" t="s">
        <v>37</v>
      </c>
      <c r="C34" s="4" t="s">
        <v>10</v>
      </c>
      <c r="D34" s="4">
        <v>4954068.847054611</v>
      </c>
    </row>
    <row r="35" spans="1:4" x14ac:dyDescent="0.25">
      <c r="A35" s="3">
        <v>10029</v>
      </c>
      <c r="B35" s="9" t="s">
        <v>38</v>
      </c>
      <c r="C35" s="4" t="s">
        <v>10</v>
      </c>
      <c r="D35" s="4">
        <v>2752260.4705858948</v>
      </c>
    </row>
    <row r="36" spans="1:4" x14ac:dyDescent="0.25">
      <c r="A36" s="3">
        <v>10030</v>
      </c>
      <c r="B36" s="9" t="s">
        <v>39</v>
      </c>
      <c r="C36" s="4" t="s">
        <v>10</v>
      </c>
      <c r="D36" s="4">
        <v>1529033.5947699414</v>
      </c>
    </row>
    <row r="37" spans="1:4" x14ac:dyDescent="0.25">
      <c r="A37" s="3">
        <v>10031</v>
      </c>
      <c r="B37" s="9" t="s">
        <v>40</v>
      </c>
      <c r="C37" s="4" t="s">
        <v>10</v>
      </c>
      <c r="D37" s="4">
        <v>849463.10820552299</v>
      </c>
    </row>
    <row r="38" spans="1:4" x14ac:dyDescent="0.25">
      <c r="A38" s="3">
        <v>10032</v>
      </c>
      <c r="B38" s="9" t="s">
        <v>41</v>
      </c>
      <c r="C38" s="4" t="s">
        <v>10</v>
      </c>
      <c r="D38" s="4">
        <v>471923.94900306832</v>
      </c>
    </row>
    <row r="39" spans="1:4" x14ac:dyDescent="0.25">
      <c r="A39" s="3">
        <v>10033</v>
      </c>
      <c r="B39" s="9" t="s">
        <v>42</v>
      </c>
      <c r="C39" s="4" t="s">
        <v>10</v>
      </c>
      <c r="D39" s="4">
        <v>262179.97166837129</v>
      </c>
    </row>
    <row r="40" spans="1:4" x14ac:dyDescent="0.25">
      <c r="A40" s="3">
        <v>10034</v>
      </c>
      <c r="B40" s="9" t="s">
        <v>43</v>
      </c>
      <c r="C40" s="4" t="s">
        <v>10</v>
      </c>
      <c r="D40" s="4">
        <v>145655.53981576182</v>
      </c>
    </row>
    <row r="41" spans="1:4" x14ac:dyDescent="0.25">
      <c r="A41" s="3">
        <v>10035</v>
      </c>
      <c r="B41" s="9" t="s">
        <v>44</v>
      </c>
      <c r="C41" s="4" t="s">
        <v>10</v>
      </c>
      <c r="D41" s="4">
        <v>80919.744342089893</v>
      </c>
    </row>
    <row r="42" spans="1:4" x14ac:dyDescent="0.25">
      <c r="A42" s="3">
        <v>10036</v>
      </c>
      <c r="B42" s="9" t="s">
        <v>45</v>
      </c>
      <c r="C42" s="4" t="s">
        <v>10</v>
      </c>
      <c r="D42" s="4">
        <v>44955.413523383271</v>
      </c>
    </row>
    <row r="43" spans="1:4" x14ac:dyDescent="0.25">
      <c r="A43" s="3">
        <v>10037</v>
      </c>
      <c r="B43" s="9" t="s">
        <v>46</v>
      </c>
      <c r="C43" s="4" t="s">
        <v>10</v>
      </c>
      <c r="D43" s="4">
        <v>24975.229735212928</v>
      </c>
    </row>
    <row r="44" spans="1:4" x14ac:dyDescent="0.25">
      <c r="A44" s="3">
        <v>10038</v>
      </c>
      <c r="B44" s="9" t="s">
        <v>47</v>
      </c>
      <c r="C44" s="4" t="s">
        <v>10</v>
      </c>
      <c r="D44" s="4">
        <v>13875.127630673849</v>
      </c>
    </row>
    <row r="45" spans="1:4" x14ac:dyDescent="0.25">
      <c r="A45" s="3">
        <v>10039</v>
      </c>
      <c r="B45" s="9" t="s">
        <v>48</v>
      </c>
      <c r="C45" s="4" t="s">
        <v>10</v>
      </c>
      <c r="D45" s="4">
        <v>7708.4042392632491</v>
      </c>
    </row>
    <row r="46" spans="1:4" x14ac:dyDescent="0.25">
      <c r="A46" s="3">
        <v>10040</v>
      </c>
      <c r="B46" s="9" t="s">
        <v>49</v>
      </c>
      <c r="C46" s="4" t="s">
        <v>10</v>
      </c>
      <c r="D46" s="4">
        <v>4282.4467995906934</v>
      </c>
    </row>
    <row r="47" spans="1:4" x14ac:dyDescent="0.25">
      <c r="A47" s="3">
        <v>10041</v>
      </c>
      <c r="B47" s="9" t="s">
        <v>50</v>
      </c>
      <c r="C47" s="4" t="s">
        <v>10</v>
      </c>
      <c r="D47" s="4">
        <v>2379.1371108837184</v>
      </c>
    </row>
    <row r="48" spans="1:4" x14ac:dyDescent="0.25">
      <c r="A48" s="3">
        <v>10042</v>
      </c>
      <c r="B48" s="9" t="s">
        <v>51</v>
      </c>
      <c r="C48" s="4" t="s">
        <v>10</v>
      </c>
      <c r="D48" s="4">
        <v>1321.7428393798434</v>
      </c>
    </row>
    <row r="49" spans="1:4" x14ac:dyDescent="0.25">
      <c r="A49" s="3">
        <v>10043</v>
      </c>
      <c r="B49" s="9" t="s">
        <v>52</v>
      </c>
      <c r="C49" s="4" t="s">
        <v>10</v>
      </c>
      <c r="D49" s="4">
        <v>734.30157743324628</v>
      </c>
    </row>
    <row r="50" spans="1:4" x14ac:dyDescent="0.25">
      <c r="A50" s="3">
        <v>10044</v>
      </c>
      <c r="B50" s="9" t="s">
        <v>53</v>
      </c>
      <c r="C50" s="4" t="s">
        <v>10</v>
      </c>
      <c r="D50" s="4">
        <v>407.94532079624793</v>
      </c>
    </row>
    <row r="51" spans="1:4" x14ac:dyDescent="0.25">
      <c r="A51" s="3">
        <v>10045</v>
      </c>
      <c r="B51" s="9" t="s">
        <v>54</v>
      </c>
      <c r="C51" s="4" t="s">
        <v>10</v>
      </c>
      <c r="D51" s="4">
        <v>226.63628933124883</v>
      </c>
    </row>
    <row r="52" spans="1:4" x14ac:dyDescent="0.25">
      <c r="A52" s="3">
        <v>10046</v>
      </c>
      <c r="B52" s="9" t="s">
        <v>55</v>
      </c>
      <c r="C52" s="4" t="s">
        <v>10</v>
      </c>
      <c r="D52" s="4">
        <v>125.90904962847156</v>
      </c>
    </row>
    <row r="53" spans="1:4" x14ac:dyDescent="0.25">
      <c r="A53" s="3">
        <v>10047</v>
      </c>
      <c r="B53" s="9" t="s">
        <v>56</v>
      </c>
      <c r="C53" s="4" t="s">
        <v>10</v>
      </c>
      <c r="D53" s="4">
        <v>69.949472015817534</v>
      </c>
    </row>
    <row r="54" spans="1:4" x14ac:dyDescent="0.25">
      <c r="A54" s="3">
        <v>10048</v>
      </c>
      <c r="B54" s="9" t="s">
        <v>57</v>
      </c>
      <c r="C54" s="4" t="s">
        <v>10</v>
      </c>
      <c r="D54" s="4">
        <v>38.860817786565299</v>
      </c>
    </row>
    <row r="55" spans="1:4" x14ac:dyDescent="0.25">
      <c r="A55" s="3">
        <v>10049</v>
      </c>
      <c r="B55" s="9" t="s">
        <v>58</v>
      </c>
      <c r="C55" s="4" t="s">
        <v>10</v>
      </c>
      <c r="D55" s="4">
        <v>21.5893432147585</v>
      </c>
    </row>
    <row r="56" spans="1:4" x14ac:dyDescent="0.25">
      <c r="A56" s="3">
        <v>10050</v>
      </c>
      <c r="B56" s="9" t="s">
        <v>59</v>
      </c>
      <c r="C56" s="4" t="s">
        <v>10</v>
      </c>
      <c r="D56" s="4">
        <v>11.994079563754722</v>
      </c>
    </row>
    <row r="57" spans="1:4" x14ac:dyDescent="0.25">
      <c r="A57" s="3">
        <v>10051</v>
      </c>
      <c r="B57" s="9" t="s">
        <v>60</v>
      </c>
      <c r="C57" s="4" t="s">
        <v>10</v>
      </c>
      <c r="D57" s="4">
        <v>119.94079563754723</v>
      </c>
    </row>
    <row r="58" spans="1:4" x14ac:dyDescent="0.25">
      <c r="A58" s="3">
        <v>10052</v>
      </c>
      <c r="B58" s="9" t="s">
        <v>61</v>
      </c>
      <c r="C58" s="4" t="s">
        <v>10</v>
      </c>
      <c r="D58" s="4">
        <v>1199.4079563754722</v>
      </c>
    </row>
    <row r="59" spans="1:4" x14ac:dyDescent="0.25">
      <c r="A59" s="3">
        <v>10053</v>
      </c>
      <c r="B59" s="9" t="s">
        <v>62</v>
      </c>
      <c r="C59" s="4" t="s">
        <v>10</v>
      </c>
      <c r="D59" s="4">
        <v>11994.079563754722</v>
      </c>
    </row>
    <row r="60" spans="1:4" x14ac:dyDescent="0.25">
      <c r="A60" s="3">
        <v>10054</v>
      </c>
      <c r="B60" s="9" t="s">
        <v>63</v>
      </c>
      <c r="C60" s="4" t="s">
        <v>10</v>
      </c>
      <c r="D60" s="4">
        <v>11994.079563754722</v>
      </c>
    </row>
    <row r="61" spans="1:4" x14ac:dyDescent="0.25">
      <c r="A61" s="3">
        <v>10055</v>
      </c>
      <c r="B61" s="9" t="s">
        <v>64</v>
      </c>
      <c r="C61" s="4" t="s">
        <v>10</v>
      </c>
      <c r="D61" s="4">
        <v>11994.079563754722</v>
      </c>
    </row>
    <row r="62" spans="1:4" x14ac:dyDescent="0.25">
      <c r="A62" s="3">
        <v>10056</v>
      </c>
      <c r="B62" s="9" t="s">
        <v>65</v>
      </c>
      <c r="C62" s="4" t="s">
        <v>10</v>
      </c>
      <c r="D62" s="4">
        <v>11994.079563754722</v>
      </c>
    </row>
    <row r="63" spans="1:4" x14ac:dyDescent="0.25">
      <c r="A63" s="3">
        <v>10057</v>
      </c>
      <c r="B63" s="9" t="s">
        <v>66</v>
      </c>
      <c r="C63" s="4" t="s">
        <v>10</v>
      </c>
      <c r="D63" s="4">
        <v>11994.079563754722</v>
      </c>
    </row>
    <row r="64" spans="1:4" x14ac:dyDescent="0.25">
      <c r="A64" s="3">
        <v>10058</v>
      </c>
      <c r="B64" s="9" t="s">
        <v>67</v>
      </c>
      <c r="C64" s="4" t="s">
        <v>10</v>
      </c>
      <c r="D64" s="4">
        <v>11994.079563754722</v>
      </c>
    </row>
    <row r="65" spans="1:4" x14ac:dyDescent="0.25">
      <c r="A65" s="3">
        <v>10059</v>
      </c>
      <c r="B65" s="9" t="s">
        <v>68</v>
      </c>
      <c r="C65" s="4" t="s">
        <v>10</v>
      </c>
      <c r="D65" s="4">
        <v>11994.079563754722</v>
      </c>
    </row>
    <row r="66" spans="1:4" x14ac:dyDescent="0.25">
      <c r="A66" s="3">
        <v>10060</v>
      </c>
      <c r="B66" s="9" t="s">
        <v>69</v>
      </c>
      <c r="C66" s="4" t="s">
        <v>10</v>
      </c>
      <c r="D66" s="4">
        <v>11994.079563754722</v>
      </c>
    </row>
    <row r="67" spans="1:4" x14ac:dyDescent="0.25">
      <c r="A67" s="3">
        <v>10061</v>
      </c>
      <c r="B67" s="9" t="s">
        <v>70</v>
      </c>
      <c r="C67" s="4" t="s">
        <v>10</v>
      </c>
      <c r="D67" s="4">
        <v>11994.079563754722</v>
      </c>
    </row>
    <row r="68" spans="1:4" x14ac:dyDescent="0.25">
      <c r="A68" s="3">
        <v>10062</v>
      </c>
      <c r="B68" s="9" t="s">
        <v>71</v>
      </c>
      <c r="C68" s="4" t="s">
        <v>10</v>
      </c>
      <c r="D68" s="4">
        <v>11994.079563754722</v>
      </c>
    </row>
    <row r="69" spans="1:4" x14ac:dyDescent="0.25">
      <c r="A69" s="3">
        <v>10063</v>
      </c>
      <c r="B69" s="9" t="s">
        <v>72</v>
      </c>
      <c r="C69" s="4" t="s">
        <v>10</v>
      </c>
      <c r="D69" s="4">
        <v>11994.079563754722</v>
      </c>
    </row>
    <row r="70" spans="1:4" x14ac:dyDescent="0.25">
      <c r="A70" s="3">
        <v>10064</v>
      </c>
      <c r="B70" s="9" t="s">
        <v>73</v>
      </c>
      <c r="C70" s="4" t="s">
        <v>10</v>
      </c>
      <c r="D70" s="4">
        <v>11994.079563754722</v>
      </c>
    </row>
    <row r="71" spans="1:4" x14ac:dyDescent="0.25">
      <c r="A71" s="3">
        <v>10065</v>
      </c>
      <c r="B71" s="9" t="s">
        <v>74</v>
      </c>
      <c r="C71" s="4" t="s">
        <v>10</v>
      </c>
      <c r="D71" s="4">
        <v>11994.079563754722</v>
      </c>
    </row>
    <row r="72" spans="1:4" x14ac:dyDescent="0.25">
      <c r="A72" s="3">
        <v>10066</v>
      </c>
      <c r="B72" s="9" t="s">
        <v>75</v>
      </c>
      <c r="C72" s="4" t="s">
        <v>10</v>
      </c>
      <c r="D72" s="4">
        <v>11994.079563754722</v>
      </c>
    </row>
    <row r="73" spans="1:4" x14ac:dyDescent="0.25">
      <c r="A73" s="3">
        <v>10067</v>
      </c>
      <c r="B73" s="9" t="s">
        <v>76</v>
      </c>
      <c r="C73" s="4" t="s">
        <v>10</v>
      </c>
      <c r="D73" s="4">
        <v>11994.079563754722</v>
      </c>
    </row>
    <row r="74" spans="1:4" x14ac:dyDescent="0.25">
      <c r="A74" s="3">
        <v>10068</v>
      </c>
      <c r="B74" s="9" t="s">
        <v>77</v>
      </c>
      <c r="C74" s="4" t="s">
        <v>10</v>
      </c>
      <c r="D74" s="4">
        <v>11994.079563754722</v>
      </c>
    </row>
    <row r="75" spans="1:4" x14ac:dyDescent="0.25">
      <c r="A75" s="3">
        <v>10069</v>
      </c>
      <c r="B75" s="9" t="s">
        <v>78</v>
      </c>
      <c r="C75" s="4" t="s">
        <v>10</v>
      </c>
      <c r="D75" s="4">
        <v>11994.079563754722</v>
      </c>
    </row>
    <row r="76" spans="1:4" x14ac:dyDescent="0.25">
      <c r="A76" s="3">
        <v>10070</v>
      </c>
      <c r="B76" s="9" t="s">
        <v>79</v>
      </c>
      <c r="C76" s="4" t="s">
        <v>10</v>
      </c>
      <c r="D76" s="4">
        <v>11994.079563754722</v>
      </c>
    </row>
    <row r="77" spans="1:4" x14ac:dyDescent="0.25">
      <c r="A77" s="3">
        <v>10071</v>
      </c>
      <c r="B77" s="9" t="s">
        <v>80</v>
      </c>
      <c r="C77" s="4" t="s">
        <v>10</v>
      </c>
      <c r="D77" s="4">
        <v>11994.079563754722</v>
      </c>
    </row>
    <row r="78" spans="1:4" x14ac:dyDescent="0.25">
      <c r="A78" s="3">
        <v>10072</v>
      </c>
      <c r="B78" s="9" t="s">
        <v>81</v>
      </c>
      <c r="C78" s="4" t="s">
        <v>10</v>
      </c>
      <c r="D78" s="4">
        <v>11994.079563754722</v>
      </c>
    </row>
    <row r="79" spans="1:4" x14ac:dyDescent="0.25">
      <c r="A79" s="3">
        <v>10073</v>
      </c>
      <c r="B79" s="9" t="s">
        <v>82</v>
      </c>
      <c r="C79" s="4" t="s">
        <v>10</v>
      </c>
      <c r="D79" s="4">
        <v>11994.079563754722</v>
      </c>
    </row>
    <row r="80" spans="1:4" x14ac:dyDescent="0.25">
      <c r="A80" s="3">
        <v>10074</v>
      </c>
      <c r="B80" s="9" t="s">
        <v>83</v>
      </c>
      <c r="C80" s="4" t="s">
        <v>10</v>
      </c>
      <c r="D80" s="4">
        <v>11994.079563754722</v>
      </c>
    </row>
    <row r="81" spans="1:4" x14ac:dyDescent="0.25">
      <c r="A81" s="3">
        <v>10075</v>
      </c>
      <c r="B81" s="9" t="s">
        <v>84</v>
      </c>
      <c r="C81" s="4" t="s">
        <v>10</v>
      </c>
      <c r="D81" s="4">
        <v>11994.079563754722</v>
      </c>
    </row>
    <row r="82" spans="1:4" x14ac:dyDescent="0.25">
      <c r="A82" s="3">
        <v>10076</v>
      </c>
      <c r="B82" s="9" t="s">
        <v>85</v>
      </c>
      <c r="C82" s="4" t="s">
        <v>10</v>
      </c>
      <c r="D82" s="4">
        <v>11994.079563754722</v>
      </c>
    </row>
    <row r="83" spans="1:4" x14ac:dyDescent="0.25">
      <c r="A83" s="3">
        <v>10077</v>
      </c>
      <c r="B83" s="9" t="s">
        <v>86</v>
      </c>
      <c r="C83" s="4" t="s">
        <v>10</v>
      </c>
      <c r="D83" s="4">
        <v>11994.079563754722</v>
      </c>
    </row>
    <row r="84" spans="1:4" x14ac:dyDescent="0.25">
      <c r="A84" s="3">
        <v>10078</v>
      </c>
      <c r="B84" s="9" t="s">
        <v>87</v>
      </c>
      <c r="C84" s="4" t="s">
        <v>10</v>
      </c>
      <c r="D84" s="4">
        <v>11994.079563754722</v>
      </c>
    </row>
    <row r="85" spans="1:4" x14ac:dyDescent="0.25">
      <c r="A85" s="3">
        <v>10079</v>
      </c>
      <c r="B85" s="9" t="s">
        <v>88</v>
      </c>
      <c r="C85" s="4" t="s">
        <v>10</v>
      </c>
      <c r="D85" s="4">
        <v>11994.079563754722</v>
      </c>
    </row>
    <row r="86" spans="1:4" x14ac:dyDescent="0.25">
      <c r="A86" s="3">
        <v>10080</v>
      </c>
      <c r="B86" s="9" t="s">
        <v>89</v>
      </c>
      <c r="C86" s="4" t="s">
        <v>10</v>
      </c>
      <c r="D86" s="4">
        <v>11994.079563754722</v>
      </c>
    </row>
    <row r="87" spans="1:4" x14ac:dyDescent="0.25">
      <c r="A87" s="3">
        <v>10081</v>
      </c>
      <c r="B87" s="9" t="s">
        <v>90</v>
      </c>
      <c r="C87" s="4" t="s">
        <v>10</v>
      </c>
      <c r="D87" s="4">
        <v>11994.079563754722</v>
      </c>
    </row>
    <row r="88" spans="1:4" x14ac:dyDescent="0.25">
      <c r="A88" s="3">
        <v>10082</v>
      </c>
      <c r="B88" s="9" t="s">
        <v>91</v>
      </c>
      <c r="C88" s="4" t="s">
        <v>10</v>
      </c>
      <c r="D88" s="4">
        <v>11994.079563754722</v>
      </c>
    </row>
    <row r="89" spans="1:4" x14ac:dyDescent="0.25">
      <c r="A89" s="3">
        <v>10083</v>
      </c>
      <c r="B89" s="9" t="s">
        <v>92</v>
      </c>
      <c r="C89" s="4" t="s">
        <v>10</v>
      </c>
      <c r="D89" s="4">
        <v>11994.079563754722</v>
      </c>
    </row>
    <row r="90" spans="1:4" x14ac:dyDescent="0.25">
      <c r="A90" s="3">
        <v>10084</v>
      </c>
      <c r="B90" s="9" t="s">
        <v>93</v>
      </c>
      <c r="C90" s="4" t="s">
        <v>10</v>
      </c>
      <c r="D90" s="4">
        <v>11994.079563754722</v>
      </c>
    </row>
    <row r="91" spans="1:4" x14ac:dyDescent="0.25">
      <c r="A91" s="3">
        <v>10085</v>
      </c>
      <c r="B91" s="9" t="s">
        <v>94</v>
      </c>
      <c r="C91" s="4" t="s">
        <v>10</v>
      </c>
      <c r="D91" s="4">
        <v>11994.079563754722</v>
      </c>
    </row>
    <row r="92" spans="1:4" x14ac:dyDescent="0.25">
      <c r="A92" s="3">
        <v>10086</v>
      </c>
      <c r="B92" s="9" t="s">
        <v>95</v>
      </c>
      <c r="C92" s="4" t="s">
        <v>10</v>
      </c>
      <c r="D92" s="4">
        <v>11994.079563754722</v>
      </c>
    </row>
    <row r="93" spans="1:4" x14ac:dyDescent="0.25">
      <c r="A93" s="3">
        <v>10087</v>
      </c>
      <c r="B93" s="9" t="s">
        <v>96</v>
      </c>
      <c r="C93" s="4" t="s">
        <v>10</v>
      </c>
      <c r="D93" s="4">
        <v>11994.079563754722</v>
      </c>
    </row>
    <row r="94" spans="1:4" x14ac:dyDescent="0.25">
      <c r="A94" s="3">
        <v>10088</v>
      </c>
      <c r="B94" s="9" t="s">
        <v>97</v>
      </c>
      <c r="C94" s="4" t="s">
        <v>10</v>
      </c>
      <c r="D94" s="4">
        <v>11994.079563754722</v>
      </c>
    </row>
    <row r="95" spans="1:4" x14ac:dyDescent="0.25">
      <c r="A95" s="3">
        <v>10089</v>
      </c>
      <c r="B95" s="9" t="s">
        <v>98</v>
      </c>
      <c r="C95" s="4" t="s">
        <v>10</v>
      </c>
      <c r="D95" s="4">
        <v>11994.079563754722</v>
      </c>
    </row>
    <row r="96" spans="1:4" x14ac:dyDescent="0.25">
      <c r="A96" s="3">
        <v>10090</v>
      </c>
      <c r="B96" s="9" t="s">
        <v>99</v>
      </c>
      <c r="C96" s="4" t="s">
        <v>10</v>
      </c>
      <c r="D96" s="4">
        <v>11994.079563754722</v>
      </c>
    </row>
    <row r="97" spans="1:4" x14ac:dyDescent="0.25">
      <c r="A97" s="3">
        <v>10091</v>
      </c>
      <c r="B97" s="9" t="s">
        <v>100</v>
      </c>
      <c r="C97" s="4" t="s">
        <v>10</v>
      </c>
      <c r="D97" s="4">
        <v>11994.079563754722</v>
      </c>
    </row>
    <row r="98" spans="1:4" x14ac:dyDescent="0.25">
      <c r="A98" s="3">
        <v>10092</v>
      </c>
      <c r="B98" s="9" t="s">
        <v>101</v>
      </c>
      <c r="C98" s="4" t="s">
        <v>10</v>
      </c>
      <c r="D98" s="4">
        <v>11994.079563754722</v>
      </c>
    </row>
    <row r="99" spans="1:4" x14ac:dyDescent="0.25">
      <c r="A99" s="3">
        <v>10093</v>
      </c>
      <c r="B99" s="9" t="s">
        <v>102</v>
      </c>
      <c r="C99" s="4" t="s">
        <v>10</v>
      </c>
      <c r="D99" s="4">
        <v>11994.079563754722</v>
      </c>
    </row>
    <row r="100" spans="1:4" x14ac:dyDescent="0.25">
      <c r="A100" s="3">
        <v>10094</v>
      </c>
      <c r="B100" s="9" t="s">
        <v>103</v>
      </c>
      <c r="C100" s="4" t="s">
        <v>10</v>
      </c>
      <c r="D100" s="4">
        <v>11994.079563754722</v>
      </c>
    </row>
    <row r="101" spans="1:4" x14ac:dyDescent="0.25">
      <c r="A101" s="3">
        <v>10095</v>
      </c>
      <c r="B101" s="9" t="s">
        <v>104</v>
      </c>
      <c r="C101" s="4" t="s">
        <v>10</v>
      </c>
      <c r="D101" s="4">
        <v>11994.079563754722</v>
      </c>
    </row>
    <row r="102" spans="1:4" x14ac:dyDescent="0.25">
      <c r="A102" s="3">
        <v>10096</v>
      </c>
      <c r="B102" s="9" t="s">
        <v>105</v>
      </c>
      <c r="C102" s="4" t="s">
        <v>10</v>
      </c>
      <c r="D102" s="4">
        <v>11994.079563754722</v>
      </c>
    </row>
    <row r="103" spans="1:4" x14ac:dyDescent="0.25">
      <c r="A103" s="3">
        <v>10097</v>
      </c>
      <c r="B103" s="9" t="s">
        <v>106</v>
      </c>
      <c r="C103" s="4" t="s">
        <v>10</v>
      </c>
      <c r="D103" s="4">
        <v>11994.079563754722</v>
      </c>
    </row>
    <row r="104" spans="1:4" x14ac:dyDescent="0.25">
      <c r="A104" s="3">
        <v>10098</v>
      </c>
      <c r="B104" s="9" t="s">
        <v>107</v>
      </c>
      <c r="C104" s="4" t="s">
        <v>10</v>
      </c>
      <c r="D104" s="4">
        <v>11994.079563754722</v>
      </c>
    </row>
    <row r="105" spans="1:4" x14ac:dyDescent="0.25">
      <c r="A105" s="3">
        <v>10099</v>
      </c>
      <c r="B105" s="9" t="s">
        <v>108</v>
      </c>
      <c r="C105" s="4" t="s">
        <v>10</v>
      </c>
      <c r="D105" s="4">
        <v>11994.079563754722</v>
      </c>
    </row>
    <row r="106" spans="1:4" x14ac:dyDescent="0.25">
      <c r="A106" s="3">
        <v>10100</v>
      </c>
      <c r="B106" s="9" t="s">
        <v>109</v>
      </c>
      <c r="C106" s="4" t="s">
        <v>10</v>
      </c>
      <c r="D106" s="4">
        <v>11994.079563754722</v>
      </c>
    </row>
    <row r="107" spans="1:4" x14ac:dyDescent="0.25">
      <c r="A107" s="3">
        <v>10101</v>
      </c>
      <c r="B107" s="9" t="s">
        <v>110</v>
      </c>
      <c r="C107" s="4" t="s">
        <v>10</v>
      </c>
      <c r="D107" s="4">
        <v>11994.079563754722</v>
      </c>
    </row>
    <row r="108" spans="1:4" x14ac:dyDescent="0.25">
      <c r="A108" s="3">
        <v>10102</v>
      </c>
      <c r="B108" s="9" t="s">
        <v>111</v>
      </c>
      <c r="C108" s="4" t="s">
        <v>10</v>
      </c>
      <c r="D108" s="4">
        <v>11994.079563754722</v>
      </c>
    </row>
    <row r="109" spans="1:4" x14ac:dyDescent="0.25">
      <c r="A109" s="3">
        <v>10103</v>
      </c>
      <c r="B109" s="9" t="s">
        <v>112</v>
      </c>
      <c r="C109" s="4" t="s">
        <v>10</v>
      </c>
      <c r="D109" s="4">
        <v>11994.079563754722</v>
      </c>
    </row>
    <row r="110" spans="1:4" x14ac:dyDescent="0.25">
      <c r="A110" s="3">
        <v>10104</v>
      </c>
      <c r="B110" s="9" t="s">
        <v>113</v>
      </c>
      <c r="C110" s="4" t="s">
        <v>10</v>
      </c>
      <c r="D110" s="4">
        <v>11994.079563754722</v>
      </c>
    </row>
    <row r="111" spans="1:4" x14ac:dyDescent="0.25">
      <c r="A111" s="3">
        <v>10105</v>
      </c>
      <c r="B111" s="9" t="s">
        <v>114</v>
      </c>
      <c r="C111" s="4" t="s">
        <v>10</v>
      </c>
      <c r="D111" s="4">
        <v>11994.079563754722</v>
      </c>
    </row>
    <row r="112" spans="1:4" x14ac:dyDescent="0.25">
      <c r="A112" s="3">
        <v>10106</v>
      </c>
      <c r="B112" s="9" t="s">
        <v>115</v>
      </c>
      <c r="C112" s="4" t="s">
        <v>10</v>
      </c>
      <c r="D112" s="4">
        <v>11994.079563754722</v>
      </c>
    </row>
    <row r="113" spans="1:4" x14ac:dyDescent="0.25">
      <c r="A113" s="3">
        <v>10107</v>
      </c>
      <c r="B113" s="9" t="s">
        <v>116</v>
      </c>
      <c r="C113" s="4" t="s">
        <v>10</v>
      </c>
      <c r="D113" s="4">
        <v>11994.079563754722</v>
      </c>
    </row>
    <row r="114" spans="1:4" x14ac:dyDescent="0.25">
      <c r="A114" s="3">
        <v>10108</v>
      </c>
      <c r="B114" s="9" t="s">
        <v>117</v>
      </c>
      <c r="C114" s="4" t="s">
        <v>10</v>
      </c>
      <c r="D114" s="4">
        <v>11994.079563754722</v>
      </c>
    </row>
    <row r="115" spans="1:4" x14ac:dyDescent="0.25">
      <c r="A115" s="3">
        <v>10109</v>
      </c>
      <c r="B115" s="9" t="s">
        <v>118</v>
      </c>
      <c r="C115" s="4" t="s">
        <v>10</v>
      </c>
      <c r="D115" s="4">
        <v>11994.079563754722</v>
      </c>
    </row>
    <row r="116" spans="1:4" x14ac:dyDescent="0.25">
      <c r="A116" s="3">
        <v>10110</v>
      </c>
      <c r="B116" s="9" t="s">
        <v>119</v>
      </c>
      <c r="C116" s="4" t="s">
        <v>10</v>
      </c>
      <c r="D116" s="4">
        <v>11994.079563754722</v>
      </c>
    </row>
    <row r="117" spans="1:4" x14ac:dyDescent="0.25">
      <c r="A117" s="3">
        <v>10111</v>
      </c>
      <c r="B117" s="9" t="s">
        <v>120</v>
      </c>
      <c r="C117" s="4" t="s">
        <v>10</v>
      </c>
      <c r="D117" s="4">
        <v>11994.079563754722</v>
      </c>
    </row>
    <row r="118" spans="1:4" x14ac:dyDescent="0.25">
      <c r="A118" s="3">
        <v>10112</v>
      </c>
      <c r="B118" s="9" t="s">
        <v>121</v>
      </c>
      <c r="C118" s="4" t="s">
        <v>10</v>
      </c>
      <c r="D118" s="4">
        <v>11994.079563754722</v>
      </c>
    </row>
    <row r="119" spans="1:4" x14ac:dyDescent="0.25">
      <c r="A119" s="3">
        <v>10113</v>
      </c>
      <c r="B119" s="9" t="s">
        <v>122</v>
      </c>
      <c r="C119" s="4" t="s">
        <v>10</v>
      </c>
      <c r="D119" s="4">
        <v>11994.079563754722</v>
      </c>
    </row>
    <row r="120" spans="1:4" x14ac:dyDescent="0.25">
      <c r="A120" s="3">
        <v>10114</v>
      </c>
      <c r="B120" s="9" t="s">
        <v>123</v>
      </c>
      <c r="C120" s="4" t="s">
        <v>10</v>
      </c>
      <c r="D120" s="4">
        <v>11994.079563754722</v>
      </c>
    </row>
    <row r="121" spans="1:4" x14ac:dyDescent="0.25">
      <c r="A121" s="3">
        <v>10115</v>
      </c>
      <c r="B121" s="9" t="s">
        <v>124</v>
      </c>
      <c r="C121" s="4" t="s">
        <v>10</v>
      </c>
      <c r="D121" s="4">
        <v>11994.079563754722</v>
      </c>
    </row>
    <row r="122" spans="1:4" x14ac:dyDescent="0.25">
      <c r="A122" s="3">
        <v>10116</v>
      </c>
      <c r="B122" s="9" t="s">
        <v>125</v>
      </c>
      <c r="C122" s="4" t="s">
        <v>10</v>
      </c>
      <c r="D122" s="4">
        <v>11994.079563754722</v>
      </c>
    </row>
    <row r="123" spans="1:4" x14ac:dyDescent="0.25">
      <c r="A123" s="3">
        <v>10117</v>
      </c>
      <c r="B123" s="9" t="s">
        <v>126</v>
      </c>
      <c r="C123" s="4" t="s">
        <v>10</v>
      </c>
      <c r="D123" s="4">
        <v>11994.079563754722</v>
      </c>
    </row>
    <row r="124" spans="1:4" x14ac:dyDescent="0.25">
      <c r="A124" s="3">
        <v>10118</v>
      </c>
      <c r="B124" s="9" t="s">
        <v>127</v>
      </c>
      <c r="C124" s="4" t="s">
        <v>10</v>
      </c>
      <c r="D124" s="4">
        <v>11994.079563754722</v>
      </c>
    </row>
    <row r="125" spans="1:4" x14ac:dyDescent="0.25">
      <c r="A125" s="3">
        <v>10119</v>
      </c>
      <c r="B125" s="9" t="s">
        <v>128</v>
      </c>
      <c r="C125" s="4" t="s">
        <v>10</v>
      </c>
      <c r="D125" s="4">
        <v>11994.079563754722</v>
      </c>
    </row>
    <row r="126" spans="1:4" x14ac:dyDescent="0.25">
      <c r="A126" s="3">
        <v>10120</v>
      </c>
      <c r="B126" s="9" t="s">
        <v>129</v>
      </c>
      <c r="C126" s="4" t="s">
        <v>10</v>
      </c>
      <c r="D126" s="4">
        <v>11994.079563754722</v>
      </c>
    </row>
    <row r="127" spans="1:4" x14ac:dyDescent="0.25">
      <c r="A127" s="3">
        <v>10121</v>
      </c>
      <c r="B127" s="9" t="s">
        <v>130</v>
      </c>
      <c r="C127" s="4" t="s">
        <v>10</v>
      </c>
      <c r="D127" s="4">
        <v>11994.079563754722</v>
      </c>
    </row>
    <row r="128" spans="1:4" x14ac:dyDescent="0.25">
      <c r="A128" s="3">
        <v>10122</v>
      </c>
      <c r="B128" s="9" t="s">
        <v>131</v>
      </c>
      <c r="C128" s="4" t="s">
        <v>10</v>
      </c>
      <c r="D128" s="4">
        <v>11994.079563754722</v>
      </c>
    </row>
    <row r="129" spans="1:4" x14ac:dyDescent="0.25">
      <c r="A129" s="3">
        <v>10123</v>
      </c>
      <c r="B129" s="9" t="s">
        <v>132</v>
      </c>
      <c r="C129" s="4" t="s">
        <v>10</v>
      </c>
      <c r="D129" s="4">
        <v>11994.079563754722</v>
      </c>
    </row>
    <row r="130" spans="1:4" x14ac:dyDescent="0.25">
      <c r="A130" s="3">
        <v>10124</v>
      </c>
      <c r="B130" s="9" t="s">
        <v>133</v>
      </c>
      <c r="C130" s="4" t="s">
        <v>10</v>
      </c>
      <c r="D130" s="4">
        <v>11994.079563754722</v>
      </c>
    </row>
    <row r="131" spans="1:4" x14ac:dyDescent="0.25">
      <c r="A131" s="3">
        <v>10125</v>
      </c>
      <c r="B131" s="9" t="s">
        <v>134</v>
      </c>
      <c r="C131" s="4" t="s">
        <v>10</v>
      </c>
      <c r="D131" s="4">
        <v>11994.079563754722</v>
      </c>
    </row>
    <row r="132" spans="1:4" x14ac:dyDescent="0.25">
      <c r="A132" s="3">
        <v>10126</v>
      </c>
      <c r="B132" s="9" t="s">
        <v>135</v>
      </c>
      <c r="C132" s="4" t="s">
        <v>10</v>
      </c>
      <c r="D132" s="4">
        <v>11994.079563754722</v>
      </c>
    </row>
    <row r="133" spans="1:4" x14ac:dyDescent="0.25">
      <c r="A133" s="3">
        <v>10127</v>
      </c>
      <c r="B133" s="9" t="s">
        <v>136</v>
      </c>
      <c r="C133" s="4" t="s">
        <v>10</v>
      </c>
      <c r="D133" s="4">
        <v>11994.079563754722</v>
      </c>
    </row>
    <row r="134" spans="1:4" x14ac:dyDescent="0.25">
      <c r="A134" s="3">
        <v>10128</v>
      </c>
      <c r="B134" s="9" t="s">
        <v>137</v>
      </c>
      <c r="C134" s="4" t="s">
        <v>10</v>
      </c>
      <c r="D134" s="4">
        <v>11994.079563754722</v>
      </c>
    </row>
    <row r="135" spans="1:4" x14ac:dyDescent="0.25">
      <c r="A135" s="3">
        <v>10129</v>
      </c>
      <c r="B135" s="9" t="s">
        <v>138</v>
      </c>
      <c r="C135" s="4" t="s">
        <v>10</v>
      </c>
      <c r="D135" s="4">
        <v>11994.079563754722</v>
      </c>
    </row>
    <row r="136" spans="1:4" x14ac:dyDescent="0.25">
      <c r="A136" s="3">
        <v>10130</v>
      </c>
      <c r="B136" s="9" t="s">
        <v>139</v>
      </c>
      <c r="C136" s="4" t="s">
        <v>10</v>
      </c>
      <c r="D136" s="4">
        <v>11994.079563754722</v>
      </c>
    </row>
    <row r="137" spans="1:4" x14ac:dyDescent="0.25">
      <c r="A137" s="3">
        <v>10131</v>
      </c>
      <c r="B137" s="9" t="s">
        <v>140</v>
      </c>
      <c r="C137" s="4" t="s">
        <v>10</v>
      </c>
      <c r="D137" s="4">
        <v>11994.079563754722</v>
      </c>
    </row>
    <row r="138" spans="1:4" x14ac:dyDescent="0.25">
      <c r="A138" s="3">
        <v>10132</v>
      </c>
      <c r="B138" s="9" t="s">
        <v>141</v>
      </c>
      <c r="C138" s="4" t="s">
        <v>10</v>
      </c>
      <c r="D138" s="4">
        <v>11994.079563754722</v>
      </c>
    </row>
    <row r="139" spans="1:4" x14ac:dyDescent="0.25">
      <c r="A139" s="3">
        <v>10133</v>
      </c>
      <c r="B139" s="9" t="s">
        <v>142</v>
      </c>
      <c r="C139" s="4" t="s">
        <v>10</v>
      </c>
      <c r="D139" s="4">
        <v>11994.079563754722</v>
      </c>
    </row>
    <row r="140" spans="1:4" x14ac:dyDescent="0.25">
      <c r="A140" s="3">
        <v>10134</v>
      </c>
      <c r="B140" s="9" t="s">
        <v>143</v>
      </c>
      <c r="C140" s="4" t="s">
        <v>10</v>
      </c>
      <c r="D140" s="4">
        <v>11994.079563754722</v>
      </c>
    </row>
    <row r="141" spans="1:4" x14ac:dyDescent="0.25">
      <c r="A141" s="3">
        <v>10135</v>
      </c>
      <c r="B141" s="9" t="s">
        <v>144</v>
      </c>
      <c r="C141" s="4" t="s">
        <v>10</v>
      </c>
      <c r="D141" s="4">
        <v>11994.079563754722</v>
      </c>
    </row>
    <row r="142" spans="1:4" x14ac:dyDescent="0.25">
      <c r="A142" s="3">
        <v>10136</v>
      </c>
      <c r="B142" s="9" t="s">
        <v>145</v>
      </c>
      <c r="C142" s="4" t="s">
        <v>10</v>
      </c>
      <c r="D142" s="4">
        <v>11994.079563754722</v>
      </c>
    </row>
    <row r="143" spans="1:4" x14ac:dyDescent="0.25">
      <c r="A143" s="3">
        <v>10137</v>
      </c>
      <c r="B143" s="9" t="s">
        <v>146</v>
      </c>
      <c r="C143" s="4" t="s">
        <v>10</v>
      </c>
      <c r="D143" s="4">
        <v>11994.079563754722</v>
      </c>
    </row>
    <row r="144" spans="1:4" x14ac:dyDescent="0.25">
      <c r="A144" s="3">
        <v>10138</v>
      </c>
      <c r="B144" s="9" t="s">
        <v>147</v>
      </c>
      <c r="C144" s="4" t="s">
        <v>10</v>
      </c>
      <c r="D144" s="4">
        <v>11994.079563754722</v>
      </c>
    </row>
    <row r="145" spans="1:4" x14ac:dyDescent="0.25">
      <c r="A145" s="3">
        <v>10139</v>
      </c>
      <c r="B145" s="9" t="s">
        <v>148</v>
      </c>
      <c r="C145" s="4" t="s">
        <v>10</v>
      </c>
      <c r="D145" s="4">
        <v>11994.079563754722</v>
      </c>
    </row>
    <row r="146" spans="1:4" x14ac:dyDescent="0.25">
      <c r="A146" s="3">
        <v>10140</v>
      </c>
      <c r="B146" s="9" t="s">
        <v>149</v>
      </c>
      <c r="C146" s="4" t="s">
        <v>10</v>
      </c>
      <c r="D146" s="4">
        <v>11994.079563754722</v>
      </c>
    </row>
    <row r="147" spans="1:4" x14ac:dyDescent="0.25">
      <c r="A147" s="3">
        <v>10141</v>
      </c>
      <c r="B147" s="9" t="s">
        <v>150</v>
      </c>
      <c r="C147" s="4" t="s">
        <v>10</v>
      </c>
      <c r="D147" s="4">
        <v>11994.079563754722</v>
      </c>
    </row>
    <row r="148" spans="1:4" x14ac:dyDescent="0.25">
      <c r="A148" s="3">
        <v>10142</v>
      </c>
      <c r="B148" s="9" t="s">
        <v>151</v>
      </c>
      <c r="C148" s="4" t="s">
        <v>10</v>
      </c>
      <c r="D148" s="4">
        <v>11994.079563754722</v>
      </c>
    </row>
    <row r="149" spans="1:4" x14ac:dyDescent="0.25">
      <c r="A149" s="3">
        <v>10143</v>
      </c>
      <c r="B149" s="9" t="s">
        <v>152</v>
      </c>
      <c r="C149" s="4" t="s">
        <v>10</v>
      </c>
      <c r="D149" s="4">
        <v>11994.079563754722</v>
      </c>
    </row>
    <row r="150" spans="1:4" x14ac:dyDescent="0.25">
      <c r="A150" s="3">
        <v>10144</v>
      </c>
      <c r="B150" s="9" t="s">
        <v>153</v>
      </c>
      <c r="C150" s="4" t="s">
        <v>10</v>
      </c>
      <c r="D150" s="4">
        <v>11994.079563754722</v>
      </c>
    </row>
    <row r="151" spans="1:4" x14ac:dyDescent="0.25">
      <c r="A151" s="3">
        <v>10145</v>
      </c>
      <c r="B151" s="9" t="s">
        <v>154</v>
      </c>
      <c r="C151" s="4" t="s">
        <v>10</v>
      </c>
      <c r="D151" s="4">
        <v>11994.079563754722</v>
      </c>
    </row>
    <row r="152" spans="1:4" x14ac:dyDescent="0.25">
      <c r="A152" s="3">
        <v>10146</v>
      </c>
      <c r="B152" s="9" t="s">
        <v>155</v>
      </c>
      <c r="C152" s="4" t="s">
        <v>10</v>
      </c>
      <c r="D152" s="4">
        <v>11994.079563754722</v>
      </c>
    </row>
    <row r="153" spans="1:4" x14ac:dyDescent="0.25">
      <c r="A153" s="3">
        <v>10147</v>
      </c>
      <c r="B153" s="9" t="s">
        <v>156</v>
      </c>
      <c r="C153" s="4" t="s">
        <v>10</v>
      </c>
      <c r="D153" s="4">
        <v>11994.079563754722</v>
      </c>
    </row>
    <row r="154" spans="1:4" x14ac:dyDescent="0.25">
      <c r="A154" s="3">
        <v>10148</v>
      </c>
      <c r="B154" s="9" t="s">
        <v>157</v>
      </c>
      <c r="C154" s="4" t="s">
        <v>10</v>
      </c>
      <c r="D154" s="4">
        <v>11994.079563754722</v>
      </c>
    </row>
    <row r="155" spans="1:4" x14ac:dyDescent="0.25">
      <c r="A155" s="3">
        <v>10149</v>
      </c>
      <c r="B155" s="9" t="s">
        <v>158</v>
      </c>
      <c r="C155" s="4" t="s">
        <v>10</v>
      </c>
      <c r="D155" s="4">
        <v>11994.079563754722</v>
      </c>
    </row>
    <row r="156" spans="1:4" x14ac:dyDescent="0.25">
      <c r="A156" s="3">
        <v>10150</v>
      </c>
      <c r="B156" s="9" t="s">
        <v>159</v>
      </c>
      <c r="C156" s="4" t="s">
        <v>10</v>
      </c>
      <c r="D156" s="4">
        <v>11994.079563754722</v>
      </c>
    </row>
    <row r="157" spans="1:4" x14ac:dyDescent="0.25">
      <c r="A157" s="3">
        <v>10151</v>
      </c>
      <c r="B157" s="9" t="s">
        <v>160</v>
      </c>
      <c r="C157" s="4" t="s">
        <v>10</v>
      </c>
      <c r="D157" s="4">
        <v>11994.079563754722</v>
      </c>
    </row>
    <row r="158" spans="1:4" x14ac:dyDescent="0.25">
      <c r="A158" s="3">
        <v>10152</v>
      </c>
      <c r="B158" s="9" t="s">
        <v>161</v>
      </c>
      <c r="C158" s="4" t="s">
        <v>10</v>
      </c>
      <c r="D158" s="4">
        <v>11994.079563754722</v>
      </c>
    </row>
    <row r="159" spans="1:4" x14ac:dyDescent="0.25">
      <c r="A159" s="3">
        <v>10153</v>
      </c>
      <c r="B159" s="9" t="s">
        <v>162</v>
      </c>
      <c r="C159" s="4" t="s">
        <v>10</v>
      </c>
      <c r="D159" s="4">
        <v>11994.079563754722</v>
      </c>
    </row>
    <row r="160" spans="1:4" x14ac:dyDescent="0.25">
      <c r="A160" s="3">
        <v>10154</v>
      </c>
      <c r="B160" s="9" t="s">
        <v>163</v>
      </c>
      <c r="C160" s="4" t="s">
        <v>10</v>
      </c>
      <c r="D160" s="4">
        <v>11994.079563754722</v>
      </c>
    </row>
    <row r="161" spans="1:4" x14ac:dyDescent="0.25">
      <c r="A161" s="3">
        <v>10155</v>
      </c>
      <c r="B161" s="9" t="s">
        <v>164</v>
      </c>
      <c r="C161" s="4" t="s">
        <v>10</v>
      </c>
      <c r="D161" s="4">
        <v>11994.079563754722</v>
      </c>
    </row>
    <row r="162" spans="1:4" x14ac:dyDescent="0.25">
      <c r="A162" s="3">
        <v>10156</v>
      </c>
      <c r="B162" s="9" t="s">
        <v>165</v>
      </c>
      <c r="C162" s="4" t="s">
        <v>10</v>
      </c>
      <c r="D162" s="4">
        <v>11994.079563754722</v>
      </c>
    </row>
    <row r="163" spans="1:4" x14ac:dyDescent="0.25">
      <c r="A163" s="3">
        <v>10157</v>
      </c>
      <c r="B163" s="9" t="s">
        <v>166</v>
      </c>
      <c r="C163" s="4" t="s">
        <v>10</v>
      </c>
      <c r="D163" s="4">
        <v>11994.079563754722</v>
      </c>
    </row>
    <row r="164" spans="1:4" x14ac:dyDescent="0.25">
      <c r="A164" s="3">
        <v>10158</v>
      </c>
      <c r="B164" s="9" t="s">
        <v>167</v>
      </c>
      <c r="C164" s="4" t="s">
        <v>10</v>
      </c>
      <c r="D164" s="4">
        <v>11994.079563754722</v>
      </c>
    </row>
    <row r="165" spans="1:4" x14ac:dyDescent="0.25">
      <c r="A165" s="3">
        <v>10159</v>
      </c>
      <c r="B165" s="9" t="s">
        <v>168</v>
      </c>
      <c r="C165" s="4" t="s">
        <v>10</v>
      </c>
      <c r="D165" s="4">
        <v>11994.079563754722</v>
      </c>
    </row>
    <row r="166" spans="1:4" x14ac:dyDescent="0.25">
      <c r="A166" s="3">
        <v>10160</v>
      </c>
      <c r="B166" s="9" t="s">
        <v>169</v>
      </c>
      <c r="C166" s="4" t="s">
        <v>10</v>
      </c>
      <c r="D166" s="4">
        <v>11994.079563754722</v>
      </c>
    </row>
    <row r="167" spans="1:4" x14ac:dyDescent="0.25">
      <c r="A167" s="3">
        <v>10161</v>
      </c>
      <c r="B167" s="9" t="s">
        <v>170</v>
      </c>
      <c r="C167" s="4" t="s">
        <v>10</v>
      </c>
      <c r="D167" s="4">
        <v>11994.079563754722</v>
      </c>
    </row>
    <row r="168" spans="1:4" x14ac:dyDescent="0.25">
      <c r="A168" s="3">
        <v>10162</v>
      </c>
      <c r="B168" s="9" t="s">
        <v>171</v>
      </c>
      <c r="C168" s="4" t="s">
        <v>10</v>
      </c>
      <c r="D168" s="4">
        <v>11994.079563754722</v>
      </c>
    </row>
    <row r="169" spans="1:4" x14ac:dyDescent="0.25">
      <c r="A169" s="3">
        <v>10163</v>
      </c>
      <c r="B169" s="9" t="s">
        <v>172</v>
      </c>
      <c r="C169" s="4" t="s">
        <v>10</v>
      </c>
      <c r="D169" s="4">
        <v>11994.079563754722</v>
      </c>
    </row>
    <row r="170" spans="1:4" x14ac:dyDescent="0.25">
      <c r="A170" s="3">
        <v>10164</v>
      </c>
      <c r="B170" s="9" t="s">
        <v>173</v>
      </c>
      <c r="C170" s="4" t="s">
        <v>10</v>
      </c>
      <c r="D170" s="4">
        <v>11994.079563754722</v>
      </c>
    </row>
    <row r="171" spans="1:4" x14ac:dyDescent="0.25">
      <c r="A171" s="3">
        <v>10165</v>
      </c>
      <c r="B171" s="9" t="s">
        <v>174</v>
      </c>
      <c r="C171" s="4" t="s">
        <v>10</v>
      </c>
      <c r="D171" s="4">
        <v>11994.079563754722</v>
      </c>
    </row>
    <row r="172" spans="1:4" x14ac:dyDescent="0.25">
      <c r="A172" s="3">
        <v>10166</v>
      </c>
      <c r="B172" s="9" t="s">
        <v>175</v>
      </c>
      <c r="C172" s="4" t="s">
        <v>10</v>
      </c>
      <c r="D172" s="4">
        <v>11994.079563754722</v>
      </c>
    </row>
    <row r="173" spans="1:4" x14ac:dyDescent="0.25">
      <c r="A173" s="3">
        <v>10167</v>
      </c>
      <c r="B173" s="9" t="s">
        <v>176</v>
      </c>
      <c r="C173" s="4" t="s">
        <v>10</v>
      </c>
      <c r="D173" s="4">
        <v>11994.079563754722</v>
      </c>
    </row>
    <row r="174" spans="1:4" x14ac:dyDescent="0.25">
      <c r="A174" s="3">
        <v>10168</v>
      </c>
      <c r="B174" s="9" t="s">
        <v>177</v>
      </c>
      <c r="C174" s="4" t="s">
        <v>10</v>
      </c>
      <c r="D174" s="4">
        <v>11994.079563754722</v>
      </c>
    </row>
    <row r="175" spans="1:4" x14ac:dyDescent="0.25">
      <c r="A175" s="3">
        <v>10169</v>
      </c>
      <c r="B175" s="9" t="s">
        <v>178</v>
      </c>
      <c r="C175" s="4" t="s">
        <v>10</v>
      </c>
      <c r="D175" s="4">
        <v>11994.079563754722</v>
      </c>
    </row>
    <row r="176" spans="1:4" x14ac:dyDescent="0.25">
      <c r="A176" s="3">
        <v>10170</v>
      </c>
      <c r="B176" s="9" t="s">
        <v>179</v>
      </c>
      <c r="C176" s="4" t="s">
        <v>10</v>
      </c>
      <c r="D176" s="4">
        <v>11994.079563754722</v>
      </c>
    </row>
    <row r="177" spans="1:4" x14ac:dyDescent="0.25">
      <c r="A177" s="3">
        <v>10171</v>
      </c>
      <c r="B177" s="9" t="s">
        <v>180</v>
      </c>
      <c r="C177" s="4" t="s">
        <v>10</v>
      </c>
      <c r="D177" s="4">
        <v>11994.079563754722</v>
      </c>
    </row>
    <row r="178" spans="1:4" x14ac:dyDescent="0.25">
      <c r="A178" s="3">
        <v>10172</v>
      </c>
      <c r="B178" s="9" t="s">
        <v>181</v>
      </c>
      <c r="C178" s="4" t="s">
        <v>10</v>
      </c>
      <c r="D178" s="4">
        <v>11994.079563754722</v>
      </c>
    </row>
    <row r="179" spans="1:4" x14ac:dyDescent="0.25">
      <c r="A179" s="3">
        <v>10173</v>
      </c>
      <c r="B179" s="9" t="s">
        <v>182</v>
      </c>
      <c r="C179" s="4" t="s">
        <v>10</v>
      </c>
      <c r="D179" s="4">
        <v>11994.079563754722</v>
      </c>
    </row>
    <row r="180" spans="1:4" x14ac:dyDescent="0.25">
      <c r="A180" s="3">
        <v>10174</v>
      </c>
      <c r="B180" s="9" t="s">
        <v>183</v>
      </c>
      <c r="C180" s="4" t="s">
        <v>10</v>
      </c>
      <c r="D180" s="4">
        <v>11994.079563754722</v>
      </c>
    </row>
    <row r="181" spans="1:4" x14ac:dyDescent="0.25">
      <c r="A181" s="3">
        <v>10175</v>
      </c>
      <c r="B181" s="9" t="s">
        <v>184</v>
      </c>
      <c r="C181" s="4" t="s">
        <v>10</v>
      </c>
      <c r="D181" s="4">
        <v>11994.079563754722</v>
      </c>
    </row>
    <row r="182" spans="1:4" x14ac:dyDescent="0.25">
      <c r="A182" s="3">
        <v>10176</v>
      </c>
      <c r="B182" s="9" t="s">
        <v>185</v>
      </c>
      <c r="C182" s="4" t="s">
        <v>10</v>
      </c>
      <c r="D182" s="4">
        <v>11994.079563754722</v>
      </c>
    </row>
    <row r="183" spans="1:4" x14ac:dyDescent="0.25">
      <c r="A183" s="3">
        <v>10177</v>
      </c>
      <c r="B183" s="9" t="s">
        <v>186</v>
      </c>
      <c r="C183" s="4" t="s">
        <v>10</v>
      </c>
      <c r="D183" s="4">
        <v>11994.079563754722</v>
      </c>
    </row>
    <row r="184" spans="1:4" x14ac:dyDescent="0.25">
      <c r="A184" s="3">
        <v>10178</v>
      </c>
      <c r="B184" s="9" t="s">
        <v>187</v>
      </c>
      <c r="C184" s="4" t="s">
        <v>10</v>
      </c>
      <c r="D184" s="4">
        <v>11994.079563754722</v>
      </c>
    </row>
    <row r="185" spans="1:4" x14ac:dyDescent="0.25">
      <c r="A185" s="3">
        <v>10179</v>
      </c>
      <c r="B185" s="9" t="s">
        <v>188</v>
      </c>
      <c r="C185" s="4" t="s">
        <v>10</v>
      </c>
      <c r="D185" s="4">
        <v>11994.079563754722</v>
      </c>
    </row>
    <row r="186" spans="1:4" x14ac:dyDescent="0.25">
      <c r="A186" s="3">
        <v>10180</v>
      </c>
      <c r="B186" s="9" t="s">
        <v>189</v>
      </c>
      <c r="C186" s="4" t="s">
        <v>10</v>
      </c>
      <c r="D186" s="4">
        <v>11994.079563754722</v>
      </c>
    </row>
    <row r="187" spans="1:4" x14ac:dyDescent="0.25">
      <c r="A187" s="3">
        <v>10181</v>
      </c>
      <c r="B187" s="9" t="s">
        <v>190</v>
      </c>
      <c r="C187" s="4" t="s">
        <v>10</v>
      </c>
      <c r="D187" s="4">
        <v>11994.079563754722</v>
      </c>
    </row>
    <row r="188" spans="1:4" x14ac:dyDescent="0.25">
      <c r="A188" s="3">
        <v>10182</v>
      </c>
      <c r="B188" s="9" t="s">
        <v>191</v>
      </c>
      <c r="C188" s="4" t="s">
        <v>10</v>
      </c>
      <c r="D188" s="4">
        <v>11994.079563754722</v>
      </c>
    </row>
    <row r="189" spans="1:4" x14ac:dyDescent="0.25">
      <c r="A189" s="3">
        <v>10183</v>
      </c>
      <c r="B189" s="9" t="s">
        <v>192</v>
      </c>
      <c r="C189" s="4" t="s">
        <v>10</v>
      </c>
      <c r="D189" s="4">
        <v>11994.079563754722</v>
      </c>
    </row>
    <row r="190" spans="1:4" x14ac:dyDescent="0.25">
      <c r="A190" s="3">
        <v>10184</v>
      </c>
      <c r="B190" s="9" t="s">
        <v>193</v>
      </c>
      <c r="C190" s="4" t="s">
        <v>10</v>
      </c>
      <c r="D190" s="4">
        <v>11994.079563754722</v>
      </c>
    </row>
    <row r="191" spans="1:4" x14ac:dyDescent="0.25">
      <c r="A191" s="3">
        <v>10185</v>
      </c>
      <c r="B191" s="9" t="s">
        <v>194</v>
      </c>
      <c r="C191" s="4" t="s">
        <v>10</v>
      </c>
      <c r="D191" s="4">
        <v>11994.079563754722</v>
      </c>
    </row>
    <row r="192" spans="1:4" x14ac:dyDescent="0.25">
      <c r="A192" s="3">
        <v>10186</v>
      </c>
      <c r="B192" s="9" t="s">
        <v>195</v>
      </c>
      <c r="C192" s="4" t="s">
        <v>10</v>
      </c>
      <c r="D192" s="4">
        <v>11994.079563754722</v>
      </c>
    </row>
    <row r="193" spans="1:4" x14ac:dyDescent="0.25">
      <c r="A193" s="3">
        <v>10187</v>
      </c>
      <c r="B193" s="9" t="s">
        <v>196</v>
      </c>
      <c r="C193" s="4" t="s">
        <v>10</v>
      </c>
      <c r="D193" s="4">
        <v>11994.079563754722</v>
      </c>
    </row>
    <row r="194" spans="1:4" x14ac:dyDescent="0.25">
      <c r="A194" s="3">
        <v>10188</v>
      </c>
      <c r="B194" s="9" t="s">
        <v>197</v>
      </c>
      <c r="C194" s="4" t="s">
        <v>10</v>
      </c>
      <c r="D194" s="4">
        <v>11994.079563754722</v>
      </c>
    </row>
    <row r="195" spans="1:4" x14ac:dyDescent="0.25">
      <c r="A195" s="3">
        <v>10189</v>
      </c>
      <c r="B195" s="9" t="s">
        <v>198</v>
      </c>
      <c r="C195" s="4" t="s">
        <v>10</v>
      </c>
      <c r="D195" s="4">
        <v>11994.079563754722</v>
      </c>
    </row>
    <row r="196" spans="1:4" x14ac:dyDescent="0.25">
      <c r="A196" s="3">
        <v>10190</v>
      </c>
      <c r="B196" s="9" t="s">
        <v>199</v>
      </c>
      <c r="C196" s="4" t="s">
        <v>10</v>
      </c>
      <c r="D196" s="4">
        <v>11994.079563754722</v>
      </c>
    </row>
    <row r="197" spans="1:4" x14ac:dyDescent="0.25">
      <c r="A197" s="3">
        <v>10191</v>
      </c>
      <c r="B197" s="9" t="s">
        <v>200</v>
      </c>
      <c r="C197" s="4" t="s">
        <v>10</v>
      </c>
      <c r="D197" s="4">
        <v>11994.079563754722</v>
      </c>
    </row>
    <row r="198" spans="1:4" x14ac:dyDescent="0.25">
      <c r="A198" s="3">
        <v>10192</v>
      </c>
      <c r="B198" s="9" t="s">
        <v>201</v>
      </c>
      <c r="C198" s="4" t="s">
        <v>10</v>
      </c>
      <c r="D198" s="4">
        <v>11994.079563754722</v>
      </c>
    </row>
    <row r="199" spans="1:4" x14ac:dyDescent="0.25">
      <c r="A199" s="3">
        <v>10193</v>
      </c>
      <c r="B199" s="9" t="s">
        <v>202</v>
      </c>
      <c r="C199" s="4" t="s">
        <v>10</v>
      </c>
      <c r="D199" s="4">
        <v>11994.079563754722</v>
      </c>
    </row>
    <row r="200" spans="1:4" x14ac:dyDescent="0.25">
      <c r="A200" s="3">
        <v>10194</v>
      </c>
      <c r="B200" s="9" t="s">
        <v>203</v>
      </c>
      <c r="C200" s="4" t="s">
        <v>10</v>
      </c>
      <c r="D200" s="4">
        <v>11994.079563754722</v>
      </c>
    </row>
    <row r="201" spans="1:4" x14ac:dyDescent="0.25">
      <c r="A201" s="3">
        <v>10195</v>
      </c>
      <c r="B201" s="9" t="s">
        <v>204</v>
      </c>
      <c r="C201" s="4" t="s">
        <v>10</v>
      </c>
      <c r="D201" s="4">
        <v>11994.079563754722</v>
      </c>
    </row>
    <row r="202" spans="1:4" x14ac:dyDescent="0.25">
      <c r="A202" s="3">
        <v>10196</v>
      </c>
      <c r="B202" s="9" t="s">
        <v>205</v>
      </c>
      <c r="C202" s="4" t="s">
        <v>10</v>
      </c>
      <c r="D202" s="4">
        <v>11994.079563754722</v>
      </c>
    </row>
    <row r="203" spans="1:4" x14ac:dyDescent="0.25">
      <c r="A203" s="3">
        <v>10197</v>
      </c>
      <c r="B203" s="9" t="s">
        <v>206</v>
      </c>
      <c r="C203" s="4" t="s">
        <v>10</v>
      </c>
      <c r="D203" s="4">
        <v>11994.079563754722</v>
      </c>
    </row>
    <row r="204" spans="1:4" x14ac:dyDescent="0.25">
      <c r="A204" s="3">
        <v>10198</v>
      </c>
      <c r="B204" s="9" t="s">
        <v>207</v>
      </c>
      <c r="C204" s="4" t="s">
        <v>10</v>
      </c>
      <c r="D204" s="4">
        <v>11994.079563754722</v>
      </c>
    </row>
    <row r="205" spans="1:4" x14ac:dyDescent="0.25">
      <c r="A205" s="3">
        <v>10199</v>
      </c>
      <c r="B205" s="9" t="s">
        <v>208</v>
      </c>
      <c r="C205" s="4" t="s">
        <v>10</v>
      </c>
      <c r="D205" s="4">
        <v>11994.079563754722</v>
      </c>
    </row>
    <row r="206" spans="1:4" x14ac:dyDescent="0.25">
      <c r="A206" s="3">
        <v>10200</v>
      </c>
      <c r="B206" s="9" t="s">
        <v>209</v>
      </c>
      <c r="C206" s="4" t="s">
        <v>10</v>
      </c>
      <c r="D206" s="4">
        <v>11994.079563754722</v>
      </c>
    </row>
    <row r="207" spans="1:4" x14ac:dyDescent="0.25">
      <c r="A207" s="3">
        <v>10201</v>
      </c>
      <c r="B207" s="9" t="s">
        <v>210</v>
      </c>
      <c r="C207" s="4" t="s">
        <v>10</v>
      </c>
      <c r="D207" s="4">
        <v>11994.079563754722</v>
      </c>
    </row>
    <row r="208" spans="1:4" x14ac:dyDescent="0.25">
      <c r="A208" s="3">
        <v>10202</v>
      </c>
      <c r="B208" s="9" t="s">
        <v>211</v>
      </c>
      <c r="C208" s="4" t="s">
        <v>11</v>
      </c>
      <c r="D208" s="4">
        <v>11994.079563754722</v>
      </c>
    </row>
    <row r="209" spans="1:4" x14ac:dyDescent="0.25">
      <c r="A209" s="3">
        <v>10203</v>
      </c>
      <c r="B209" s="9" t="s">
        <v>212</v>
      </c>
      <c r="C209" s="4" t="s">
        <v>10</v>
      </c>
      <c r="D209" s="4">
        <v>11994.079563754722</v>
      </c>
    </row>
    <row r="210" spans="1:4" x14ac:dyDescent="0.25">
      <c r="A210" s="3">
        <v>10204</v>
      </c>
      <c r="B210" s="9" t="s">
        <v>213</v>
      </c>
      <c r="C210" s="4" t="s">
        <v>10</v>
      </c>
      <c r="D210" s="4">
        <v>11994.079563754722</v>
      </c>
    </row>
    <row r="211" spans="1:4" x14ac:dyDescent="0.25">
      <c r="A211" s="3">
        <v>10205</v>
      </c>
      <c r="B211" s="9" t="s">
        <v>214</v>
      </c>
      <c r="C211" s="4" t="s">
        <v>10</v>
      </c>
      <c r="D211" s="4">
        <v>11994.079563754722</v>
      </c>
    </row>
    <row r="212" spans="1:4" x14ac:dyDescent="0.25">
      <c r="A212" s="3">
        <v>10206</v>
      </c>
      <c r="B212" s="9" t="s">
        <v>215</v>
      </c>
      <c r="C212" s="4" t="s">
        <v>10</v>
      </c>
      <c r="D212" s="4">
        <v>11994.079563754722</v>
      </c>
    </row>
    <row r="213" spans="1:4" x14ac:dyDescent="0.25">
      <c r="A213" s="3">
        <v>10207</v>
      </c>
      <c r="B213" s="9" t="s">
        <v>216</v>
      </c>
      <c r="C213" s="4" t="s">
        <v>10</v>
      </c>
      <c r="D213" s="4">
        <v>11994.079563754722</v>
      </c>
    </row>
    <row r="214" spans="1:4" x14ac:dyDescent="0.25">
      <c r="A214" s="3">
        <v>10208</v>
      </c>
      <c r="B214" s="9" t="s">
        <v>217</v>
      </c>
      <c r="C214" s="4" t="s">
        <v>10</v>
      </c>
      <c r="D214" s="4">
        <v>11994.079563754722</v>
      </c>
    </row>
    <row r="215" spans="1:4" x14ac:dyDescent="0.25">
      <c r="A215" s="3">
        <v>10209</v>
      </c>
      <c r="B215" s="9" t="s">
        <v>218</v>
      </c>
      <c r="C215" s="4" t="s">
        <v>10</v>
      </c>
      <c r="D215" s="4">
        <v>11994.079563754722</v>
      </c>
    </row>
    <row r="216" spans="1:4" x14ac:dyDescent="0.25">
      <c r="A216" s="3">
        <v>10210</v>
      </c>
      <c r="B216" s="9" t="s">
        <v>219</v>
      </c>
      <c r="C216" s="4" t="s">
        <v>10</v>
      </c>
      <c r="D216" s="4">
        <v>11994.079563754722</v>
      </c>
    </row>
    <row r="217" spans="1:4" x14ac:dyDescent="0.25">
      <c r="A217" s="3">
        <v>10211</v>
      </c>
      <c r="B217" s="9" t="s">
        <v>220</v>
      </c>
      <c r="C217" s="4" t="s">
        <v>10</v>
      </c>
      <c r="D217" s="4">
        <v>11994.079563754722</v>
      </c>
    </row>
    <row r="218" spans="1:4" x14ac:dyDescent="0.25">
      <c r="A218" s="3">
        <v>10212</v>
      </c>
      <c r="B218" s="9" t="s">
        <v>221</v>
      </c>
      <c r="C218" s="4" t="s">
        <v>10</v>
      </c>
      <c r="D218" s="4">
        <v>11994.079563754722</v>
      </c>
    </row>
    <row r="219" spans="1:4" x14ac:dyDescent="0.25">
      <c r="A219" s="3">
        <v>10213</v>
      </c>
      <c r="B219" s="9" t="s">
        <v>222</v>
      </c>
      <c r="C219" s="4" t="s">
        <v>10</v>
      </c>
      <c r="D219" s="4">
        <v>11994.079563754722</v>
      </c>
    </row>
    <row r="220" spans="1:4" x14ac:dyDescent="0.25">
      <c r="A220" s="3">
        <v>10214</v>
      </c>
      <c r="B220" s="9" t="s">
        <v>223</v>
      </c>
      <c r="C220" s="4" t="s">
        <v>10</v>
      </c>
      <c r="D220" s="4">
        <v>11994.079563754722</v>
      </c>
    </row>
    <row r="221" spans="1:4" x14ac:dyDescent="0.25">
      <c r="A221" s="3">
        <v>10215</v>
      </c>
      <c r="B221" s="9" t="s">
        <v>224</v>
      </c>
      <c r="C221" s="4" t="s">
        <v>10</v>
      </c>
      <c r="D221" s="4">
        <v>11994.079563754722</v>
      </c>
    </row>
    <row r="222" spans="1:4" x14ac:dyDescent="0.25">
      <c r="A222" s="3">
        <v>10216</v>
      </c>
      <c r="B222" s="9" t="s">
        <v>225</v>
      </c>
      <c r="C222" s="4" t="s">
        <v>10</v>
      </c>
      <c r="D222" s="4">
        <v>11994.079563754722</v>
      </c>
    </row>
    <row r="223" spans="1:4" x14ac:dyDescent="0.25">
      <c r="A223" s="3">
        <v>10217</v>
      </c>
      <c r="B223" s="9" t="s">
        <v>226</v>
      </c>
      <c r="C223" s="4" t="s">
        <v>10</v>
      </c>
      <c r="D223" s="4">
        <v>11994.079563754722</v>
      </c>
    </row>
    <row r="224" spans="1:4" x14ac:dyDescent="0.25">
      <c r="A224" s="3">
        <v>10218</v>
      </c>
      <c r="B224" s="9" t="s">
        <v>227</v>
      </c>
      <c r="C224" s="4" t="s">
        <v>10</v>
      </c>
      <c r="D224" s="4">
        <v>11994.079563754722</v>
      </c>
    </row>
    <row r="225" spans="1:4" x14ac:dyDescent="0.25">
      <c r="A225" s="3">
        <v>10219</v>
      </c>
      <c r="B225" s="9" t="s">
        <v>228</v>
      </c>
      <c r="C225" s="4" t="s">
        <v>10</v>
      </c>
      <c r="D225" s="4">
        <v>11994.079563754722</v>
      </c>
    </row>
    <row r="226" spans="1:4" x14ac:dyDescent="0.25">
      <c r="A226" s="3">
        <v>10220</v>
      </c>
      <c r="B226" s="9" t="s">
        <v>229</v>
      </c>
      <c r="C226" s="4" t="s">
        <v>10</v>
      </c>
      <c r="D226" s="4">
        <v>11994.079563754722</v>
      </c>
    </row>
    <row r="227" spans="1:4" x14ac:dyDescent="0.25">
      <c r="A227" s="3">
        <v>10221</v>
      </c>
      <c r="B227" s="9" t="s">
        <v>230</v>
      </c>
      <c r="C227" s="4" t="s">
        <v>10</v>
      </c>
      <c r="D227" s="4">
        <v>11994.079563754722</v>
      </c>
    </row>
    <row r="228" spans="1:4" x14ac:dyDescent="0.25">
      <c r="A228" s="3">
        <v>10222</v>
      </c>
      <c r="B228" s="9" t="s">
        <v>231</v>
      </c>
      <c r="C228" s="4" t="s">
        <v>10</v>
      </c>
      <c r="D228" s="4">
        <v>11994.079563754722</v>
      </c>
    </row>
    <row r="229" spans="1:4" x14ac:dyDescent="0.25">
      <c r="A229" s="3">
        <v>10223</v>
      </c>
      <c r="B229" s="9" t="s">
        <v>232</v>
      </c>
      <c r="C229" s="4" t="s">
        <v>10</v>
      </c>
      <c r="D229" s="4">
        <v>11994.079563754722</v>
      </c>
    </row>
    <row r="230" spans="1:4" x14ac:dyDescent="0.25">
      <c r="A230" s="3">
        <v>10224</v>
      </c>
      <c r="B230" s="9" t="s">
        <v>233</v>
      </c>
      <c r="C230" s="4" t="s">
        <v>10</v>
      </c>
      <c r="D230" s="4">
        <v>11994.079563754722</v>
      </c>
    </row>
    <row r="231" spans="1:4" x14ac:dyDescent="0.25">
      <c r="A231" s="3">
        <v>10225</v>
      </c>
      <c r="B231" s="9" t="s">
        <v>234</v>
      </c>
      <c r="C231" s="4" t="s">
        <v>10</v>
      </c>
      <c r="D231" s="4">
        <v>11994.079563754722</v>
      </c>
    </row>
    <row r="232" spans="1:4" x14ac:dyDescent="0.25">
      <c r="A232" s="3">
        <v>10226</v>
      </c>
      <c r="B232" s="9" t="s">
        <v>235</v>
      </c>
      <c r="C232" s="4" t="s">
        <v>10</v>
      </c>
      <c r="D232" s="4">
        <v>11994.079563754722</v>
      </c>
    </row>
    <row r="233" spans="1:4" x14ac:dyDescent="0.25">
      <c r="A233" s="3">
        <v>10227</v>
      </c>
      <c r="B233" s="9" t="s">
        <v>236</v>
      </c>
      <c r="C233" s="4" t="s">
        <v>10</v>
      </c>
      <c r="D233" s="4">
        <v>11994.079563754722</v>
      </c>
    </row>
    <row r="234" spans="1:4" x14ac:dyDescent="0.25">
      <c r="A234" s="3">
        <v>10228</v>
      </c>
      <c r="B234" s="9" t="s">
        <v>237</v>
      </c>
      <c r="C234" s="4" t="s">
        <v>10</v>
      </c>
      <c r="D234" s="4">
        <v>11994.079563754722</v>
      </c>
    </row>
    <row r="235" spans="1:4" x14ac:dyDescent="0.25">
      <c r="A235" s="3">
        <v>10229</v>
      </c>
      <c r="B235" s="9" t="s">
        <v>238</v>
      </c>
      <c r="C235" s="4" t="s">
        <v>10</v>
      </c>
      <c r="D235" s="4">
        <v>11994.079563754722</v>
      </c>
    </row>
    <row r="236" spans="1:4" x14ac:dyDescent="0.25">
      <c r="A236" s="3">
        <v>10230</v>
      </c>
      <c r="B236" s="9" t="s">
        <v>239</v>
      </c>
      <c r="C236" s="4" t="s">
        <v>10</v>
      </c>
      <c r="D236" s="4">
        <v>11994.079563754722</v>
      </c>
    </row>
    <row r="237" spans="1:4" x14ac:dyDescent="0.25">
      <c r="A237" s="3">
        <v>10231</v>
      </c>
      <c r="B237" s="9" t="s">
        <v>240</v>
      </c>
      <c r="C237" s="4" t="s">
        <v>10</v>
      </c>
      <c r="D237" s="4">
        <v>11994.079563754722</v>
      </c>
    </row>
    <row r="238" spans="1:4" x14ac:dyDescent="0.25">
      <c r="A238" s="3">
        <v>10232</v>
      </c>
      <c r="B238" s="9" t="s">
        <v>241</v>
      </c>
      <c r="C238" s="4" t="s">
        <v>10</v>
      </c>
      <c r="D238" s="4">
        <v>11994.079563754722</v>
      </c>
    </row>
    <row r="239" spans="1:4" x14ac:dyDescent="0.25">
      <c r="A239" s="3">
        <v>10233</v>
      </c>
      <c r="B239" s="9" t="s">
        <v>242</v>
      </c>
      <c r="C239" s="4" t="s">
        <v>10</v>
      </c>
      <c r="D239" s="4">
        <v>11994.079563754722</v>
      </c>
    </row>
    <row r="240" spans="1:4" x14ac:dyDescent="0.25">
      <c r="A240" s="3">
        <v>10234</v>
      </c>
      <c r="B240" s="9" t="s">
        <v>243</v>
      </c>
      <c r="C240" s="4" t="s">
        <v>10</v>
      </c>
      <c r="D240" s="4">
        <v>11994.079563754722</v>
      </c>
    </row>
    <row r="241" spans="1:4" x14ac:dyDescent="0.25">
      <c r="A241" s="3">
        <v>10235</v>
      </c>
      <c r="B241" s="9" t="s">
        <v>244</v>
      </c>
      <c r="C241" s="4" t="s">
        <v>10</v>
      </c>
      <c r="D241" s="4">
        <v>11994.079563754722</v>
      </c>
    </row>
    <row r="242" spans="1:4" x14ac:dyDescent="0.25">
      <c r="A242" s="3">
        <v>10236</v>
      </c>
      <c r="B242" s="9" t="s">
        <v>245</v>
      </c>
      <c r="C242" s="4" t="s">
        <v>10</v>
      </c>
      <c r="D242" s="4">
        <v>11994.079563754722</v>
      </c>
    </row>
    <row r="243" spans="1:4" x14ac:dyDescent="0.25">
      <c r="A243" s="3">
        <v>10237</v>
      </c>
      <c r="B243" s="9" t="s">
        <v>246</v>
      </c>
      <c r="C243" s="4" t="s">
        <v>10</v>
      </c>
      <c r="D243" s="4">
        <v>11994.079563754722</v>
      </c>
    </row>
    <row r="244" spans="1:4" x14ac:dyDescent="0.25">
      <c r="A244" s="3">
        <v>10238</v>
      </c>
      <c r="B244" s="9" t="s">
        <v>247</v>
      </c>
      <c r="C244" s="4" t="s">
        <v>10</v>
      </c>
      <c r="D244" s="4">
        <v>11994.079563754722</v>
      </c>
    </row>
    <row r="245" spans="1:4" x14ac:dyDescent="0.25">
      <c r="A245" s="3">
        <v>10239</v>
      </c>
      <c r="B245" s="9" t="s">
        <v>248</v>
      </c>
      <c r="C245" s="4" t="s">
        <v>10</v>
      </c>
      <c r="D245" s="4">
        <v>11994.079563754722</v>
      </c>
    </row>
    <row r="246" spans="1:4" x14ac:dyDescent="0.25">
      <c r="A246" s="3">
        <v>10240</v>
      </c>
      <c r="B246" s="9" t="s">
        <v>249</v>
      </c>
      <c r="C246" s="4" t="s">
        <v>10</v>
      </c>
      <c r="D246" s="4">
        <v>11994.079563754722</v>
      </c>
    </row>
    <row r="247" spans="1:4" x14ac:dyDescent="0.25">
      <c r="A247" s="3">
        <v>10241</v>
      </c>
      <c r="B247" s="9" t="s">
        <v>250</v>
      </c>
      <c r="C247" s="4" t="s">
        <v>10</v>
      </c>
      <c r="D247" s="4">
        <v>11994.079563754722</v>
      </c>
    </row>
    <row r="248" spans="1:4" x14ac:dyDescent="0.25">
      <c r="A248" s="3">
        <v>10242</v>
      </c>
      <c r="B248" s="9" t="s">
        <v>251</v>
      </c>
      <c r="C248" s="4" t="s">
        <v>10</v>
      </c>
      <c r="D248" s="4">
        <v>11994.079563754722</v>
      </c>
    </row>
    <row r="249" spans="1:4" x14ac:dyDescent="0.25">
      <c r="A249" s="3">
        <v>10243</v>
      </c>
      <c r="B249" s="9" t="s">
        <v>252</v>
      </c>
      <c r="C249" s="4" t="s">
        <v>10</v>
      </c>
      <c r="D249" s="4">
        <v>11994.079563754722</v>
      </c>
    </row>
    <row r="250" spans="1:4" x14ac:dyDescent="0.25">
      <c r="A250" s="3">
        <v>10244</v>
      </c>
      <c r="B250" s="9" t="s">
        <v>253</v>
      </c>
      <c r="C250" s="4" t="s">
        <v>10</v>
      </c>
      <c r="D250" s="4">
        <v>11994.079563754722</v>
      </c>
    </row>
    <row r="251" spans="1:4" x14ac:dyDescent="0.25">
      <c r="A251" s="3">
        <v>10245</v>
      </c>
      <c r="B251" s="9" t="s">
        <v>254</v>
      </c>
      <c r="C251" s="4" t="s">
        <v>10</v>
      </c>
      <c r="D251" s="4">
        <v>11994.079563754722</v>
      </c>
    </row>
    <row r="252" spans="1:4" x14ac:dyDescent="0.25">
      <c r="A252" s="3">
        <v>10246</v>
      </c>
      <c r="B252" s="9" t="s">
        <v>255</v>
      </c>
      <c r="C252" s="4" t="s">
        <v>10</v>
      </c>
      <c r="D252" s="4">
        <v>11994.079563754722</v>
      </c>
    </row>
    <row r="253" spans="1:4" x14ac:dyDescent="0.25">
      <c r="A253" s="3">
        <v>10247</v>
      </c>
      <c r="B253" s="9" t="s">
        <v>256</v>
      </c>
      <c r="C253" s="4" t="s">
        <v>10</v>
      </c>
      <c r="D253" s="4">
        <v>11994.079563754722</v>
      </c>
    </row>
    <row r="254" spans="1:4" x14ac:dyDescent="0.25">
      <c r="A254" s="3">
        <v>10248</v>
      </c>
      <c r="B254" s="9" t="s">
        <v>257</v>
      </c>
      <c r="C254" s="4" t="s">
        <v>10</v>
      </c>
      <c r="D254" s="4">
        <v>11994.079563754722</v>
      </c>
    </row>
    <row r="255" spans="1:4" x14ac:dyDescent="0.25">
      <c r="A255" s="3">
        <v>10249</v>
      </c>
      <c r="B255" s="9" t="s">
        <v>258</v>
      </c>
      <c r="C255" s="4" t="s">
        <v>10</v>
      </c>
      <c r="D255" s="4">
        <v>11994.079563754722</v>
      </c>
    </row>
    <row r="256" spans="1:4" x14ac:dyDescent="0.25">
      <c r="A256" s="3">
        <v>10250</v>
      </c>
      <c r="B256" s="9" t="s">
        <v>259</v>
      </c>
      <c r="C256" s="4" t="s">
        <v>10</v>
      </c>
      <c r="D256" s="4">
        <v>11994.079563754722</v>
      </c>
    </row>
    <row r="257" spans="1:4" x14ac:dyDescent="0.25">
      <c r="A257" s="3">
        <v>10251</v>
      </c>
      <c r="B257" s="9" t="s">
        <v>260</v>
      </c>
      <c r="C257" s="4" t="s">
        <v>10</v>
      </c>
      <c r="D257" s="4">
        <v>11994.079563754722</v>
      </c>
    </row>
    <row r="258" spans="1:4" x14ac:dyDescent="0.25">
      <c r="A258" s="3">
        <v>10252</v>
      </c>
      <c r="B258" s="9" t="s">
        <v>261</v>
      </c>
      <c r="C258" s="4" t="s">
        <v>10</v>
      </c>
      <c r="D258" s="4">
        <v>11994.079563754722</v>
      </c>
    </row>
    <row r="259" spans="1:4" x14ac:dyDescent="0.25">
      <c r="A259" s="3">
        <v>10253</v>
      </c>
      <c r="B259" s="9" t="s">
        <v>262</v>
      </c>
      <c r="C259" s="4" t="s">
        <v>10</v>
      </c>
      <c r="D259" s="4">
        <v>11994.079563754722</v>
      </c>
    </row>
    <row r="260" spans="1:4" x14ac:dyDescent="0.25">
      <c r="A260" s="3">
        <v>10254</v>
      </c>
      <c r="B260" s="9" t="s">
        <v>263</v>
      </c>
      <c r="C260" s="4" t="s">
        <v>10</v>
      </c>
      <c r="D260" s="4">
        <v>11994.079563754722</v>
      </c>
    </row>
    <row r="261" spans="1:4" x14ac:dyDescent="0.25">
      <c r="A261" s="3">
        <v>10255</v>
      </c>
      <c r="B261" s="9" t="s">
        <v>264</v>
      </c>
      <c r="C261" s="4" t="s">
        <v>10</v>
      </c>
      <c r="D261" s="4">
        <v>11994.079563754722</v>
      </c>
    </row>
    <row r="262" spans="1:4" x14ac:dyDescent="0.25">
      <c r="A262" s="3">
        <v>10256</v>
      </c>
      <c r="B262" s="9" t="s">
        <v>265</v>
      </c>
      <c r="C262" s="4" t="s">
        <v>10</v>
      </c>
      <c r="D262" s="4">
        <v>11994.079563754722</v>
      </c>
    </row>
    <row r="263" spans="1:4" x14ac:dyDescent="0.25">
      <c r="A263" s="3">
        <v>10257</v>
      </c>
      <c r="B263" s="9" t="s">
        <v>266</v>
      </c>
      <c r="C263" s="4" t="s">
        <v>10</v>
      </c>
      <c r="D263" s="4">
        <v>11994.079563754722</v>
      </c>
    </row>
    <row r="264" spans="1:4" x14ac:dyDescent="0.25">
      <c r="A264" s="3">
        <v>10258</v>
      </c>
      <c r="B264" s="9" t="s">
        <v>267</v>
      </c>
      <c r="C264" s="4" t="s">
        <v>10</v>
      </c>
      <c r="D264" s="4">
        <v>11994.079563754722</v>
      </c>
    </row>
    <row r="265" spans="1:4" x14ac:dyDescent="0.25">
      <c r="A265" s="3">
        <v>10259</v>
      </c>
      <c r="B265" s="9" t="s">
        <v>268</v>
      </c>
      <c r="C265" s="4" t="s">
        <v>10</v>
      </c>
      <c r="D265" s="4">
        <v>11994.079563754722</v>
      </c>
    </row>
    <row r="266" spans="1:4" x14ac:dyDescent="0.25">
      <c r="A266" s="3">
        <v>10260</v>
      </c>
      <c r="B266" s="9" t="s">
        <v>269</v>
      </c>
      <c r="C266" s="4" t="s">
        <v>10</v>
      </c>
      <c r="D266" s="4">
        <v>11994.079563754722</v>
      </c>
    </row>
    <row r="267" spans="1:4" x14ac:dyDescent="0.25">
      <c r="A267" s="3">
        <v>10261</v>
      </c>
      <c r="B267" s="9" t="s">
        <v>270</v>
      </c>
      <c r="C267" s="4" t="s">
        <v>10</v>
      </c>
      <c r="D267" s="4">
        <v>11994.079563754722</v>
      </c>
    </row>
    <row r="268" spans="1:4" x14ac:dyDescent="0.25">
      <c r="A268" s="3">
        <v>10262</v>
      </c>
      <c r="B268" s="9" t="s">
        <v>271</v>
      </c>
      <c r="C268" s="4" t="s">
        <v>10</v>
      </c>
      <c r="D268" s="4">
        <v>11994.079563754722</v>
      </c>
    </row>
    <row r="269" spans="1:4" x14ac:dyDescent="0.25">
      <c r="A269" s="3">
        <v>10263</v>
      </c>
      <c r="B269" s="9" t="s">
        <v>272</v>
      </c>
      <c r="C269" s="4" t="s">
        <v>10</v>
      </c>
      <c r="D269" s="4">
        <v>11994.079563754722</v>
      </c>
    </row>
    <row r="270" spans="1:4" x14ac:dyDescent="0.25">
      <c r="A270" s="3">
        <v>10264</v>
      </c>
      <c r="B270" s="9" t="s">
        <v>273</v>
      </c>
      <c r="C270" s="4" t="s">
        <v>10</v>
      </c>
      <c r="D270" s="4">
        <v>11994.079563754722</v>
      </c>
    </row>
    <row r="271" spans="1:4" x14ac:dyDescent="0.25">
      <c r="A271" s="3">
        <v>10265</v>
      </c>
      <c r="B271" s="9" t="s">
        <v>274</v>
      </c>
      <c r="C271" s="4" t="s">
        <v>10</v>
      </c>
      <c r="D271" s="4">
        <v>11994.079563754722</v>
      </c>
    </row>
    <row r="272" spans="1:4" x14ac:dyDescent="0.25">
      <c r="A272" s="3">
        <v>10266</v>
      </c>
      <c r="B272" s="9" t="s">
        <v>275</v>
      </c>
      <c r="C272" s="4" t="s">
        <v>10</v>
      </c>
      <c r="D272" s="4">
        <v>11994.079563754722</v>
      </c>
    </row>
    <row r="273" spans="1:4" x14ac:dyDescent="0.25">
      <c r="A273" s="3">
        <v>10267</v>
      </c>
      <c r="B273" s="9" t="s">
        <v>276</v>
      </c>
      <c r="C273" s="4" t="s">
        <v>10</v>
      </c>
      <c r="D273" s="4">
        <v>11994.079563754722</v>
      </c>
    </row>
    <row r="274" spans="1:4" x14ac:dyDescent="0.25">
      <c r="A274" s="3">
        <v>10268</v>
      </c>
      <c r="B274" s="9" t="s">
        <v>277</v>
      </c>
      <c r="C274" s="4" t="s">
        <v>10</v>
      </c>
      <c r="D274" s="4">
        <v>11994.079563754722</v>
      </c>
    </row>
    <row r="275" spans="1:4" x14ac:dyDescent="0.25">
      <c r="A275" s="3">
        <v>10269</v>
      </c>
      <c r="B275" s="9" t="s">
        <v>278</v>
      </c>
      <c r="C275" s="4" t="s">
        <v>10</v>
      </c>
      <c r="D275" s="4">
        <v>11994.079563754722</v>
      </c>
    </row>
    <row r="276" spans="1:4" x14ac:dyDescent="0.25">
      <c r="A276" s="3">
        <v>10270</v>
      </c>
      <c r="B276" s="9" t="s">
        <v>279</v>
      </c>
      <c r="C276" s="4" t="s">
        <v>10</v>
      </c>
      <c r="D276" s="4">
        <v>11994.079563754722</v>
      </c>
    </row>
    <row r="277" spans="1:4" x14ac:dyDescent="0.25">
      <c r="A277" s="3">
        <v>10271</v>
      </c>
      <c r="B277" s="9" t="s">
        <v>280</v>
      </c>
      <c r="C277" s="4" t="s">
        <v>10</v>
      </c>
      <c r="D277" s="4">
        <v>11994.079563754722</v>
      </c>
    </row>
    <row r="278" spans="1:4" x14ac:dyDescent="0.25">
      <c r="A278" s="3">
        <v>10272</v>
      </c>
      <c r="B278" s="9" t="s">
        <v>281</v>
      </c>
      <c r="C278" s="4" t="s">
        <v>10</v>
      </c>
      <c r="D278" s="4">
        <v>11994.079563754722</v>
      </c>
    </row>
    <row r="279" spans="1:4" x14ac:dyDescent="0.25">
      <c r="A279" s="3">
        <v>10273</v>
      </c>
      <c r="B279" s="9" t="s">
        <v>282</v>
      </c>
      <c r="C279" s="4" t="s">
        <v>10</v>
      </c>
      <c r="D279" s="4">
        <v>11994.079563754722</v>
      </c>
    </row>
    <row r="280" spans="1:4" x14ac:dyDescent="0.25">
      <c r="A280" s="3">
        <v>10274</v>
      </c>
      <c r="B280" s="9" t="s">
        <v>283</v>
      </c>
      <c r="C280" s="4" t="s">
        <v>10</v>
      </c>
      <c r="D280" s="4">
        <v>11994.079563754722</v>
      </c>
    </row>
    <row r="281" spans="1:4" x14ac:dyDescent="0.25">
      <c r="A281" s="3">
        <v>10275</v>
      </c>
      <c r="B281" s="9" t="s">
        <v>284</v>
      </c>
      <c r="C281" s="4" t="s">
        <v>10</v>
      </c>
      <c r="D281" s="4">
        <v>11994.079563754722</v>
      </c>
    </row>
    <row r="282" spans="1:4" x14ac:dyDescent="0.25">
      <c r="A282" s="3">
        <v>10276</v>
      </c>
      <c r="B282" s="9" t="s">
        <v>285</v>
      </c>
      <c r="C282" s="4" t="s">
        <v>10</v>
      </c>
      <c r="D282" s="4">
        <v>11994.079563754722</v>
      </c>
    </row>
    <row r="283" spans="1:4" x14ac:dyDescent="0.25">
      <c r="A283" s="3">
        <v>10277</v>
      </c>
      <c r="B283" s="9" t="s">
        <v>286</v>
      </c>
      <c r="C283" s="4" t="s">
        <v>10</v>
      </c>
      <c r="D283" s="4">
        <v>11994.079563754722</v>
      </c>
    </row>
    <row r="284" spans="1:4" x14ac:dyDescent="0.25">
      <c r="A284" s="3">
        <v>10278</v>
      </c>
      <c r="B284" s="9" t="s">
        <v>287</v>
      </c>
      <c r="C284" s="4" t="s">
        <v>10</v>
      </c>
      <c r="D284" s="4">
        <v>11994.079563754722</v>
      </c>
    </row>
    <row r="285" spans="1:4" x14ac:dyDescent="0.25">
      <c r="A285" s="3">
        <v>10279</v>
      </c>
      <c r="B285" s="9" t="s">
        <v>288</v>
      </c>
      <c r="C285" s="4" t="s">
        <v>10</v>
      </c>
      <c r="D285" s="4">
        <v>11994.079563754722</v>
      </c>
    </row>
    <row r="286" spans="1:4" x14ac:dyDescent="0.25">
      <c r="A286" s="3">
        <v>10280</v>
      </c>
      <c r="B286" s="9" t="s">
        <v>289</v>
      </c>
      <c r="C286" s="4" t="s">
        <v>10</v>
      </c>
      <c r="D286" s="4">
        <v>11994.079563754722</v>
      </c>
    </row>
    <row r="287" spans="1:4" x14ac:dyDescent="0.25">
      <c r="A287" s="3">
        <v>10281</v>
      </c>
      <c r="B287" s="9" t="s">
        <v>290</v>
      </c>
      <c r="C287" s="4" t="s">
        <v>10</v>
      </c>
      <c r="D287" s="4">
        <v>11994.079563754722</v>
      </c>
    </row>
    <row r="288" spans="1:4" x14ac:dyDescent="0.25">
      <c r="A288" s="3">
        <v>10282</v>
      </c>
      <c r="B288" s="9" t="s">
        <v>291</v>
      </c>
      <c r="C288" s="4" t="s">
        <v>10</v>
      </c>
      <c r="D288" s="4">
        <v>11994.079563754722</v>
      </c>
    </row>
    <row r="289" spans="1:4" x14ac:dyDescent="0.25">
      <c r="A289" s="3">
        <v>10283</v>
      </c>
      <c r="B289" s="9" t="s">
        <v>292</v>
      </c>
      <c r="C289" s="4" t="s">
        <v>10</v>
      </c>
      <c r="D289" s="4">
        <v>11994.079563754722</v>
      </c>
    </row>
    <row r="290" spans="1:4" x14ac:dyDescent="0.25">
      <c r="A290" s="3">
        <v>10284</v>
      </c>
      <c r="B290" s="9" t="s">
        <v>293</v>
      </c>
      <c r="C290" s="4" t="s">
        <v>10</v>
      </c>
      <c r="D290" s="4">
        <v>11994.079563754722</v>
      </c>
    </row>
    <row r="291" spans="1:4" x14ac:dyDescent="0.25">
      <c r="A291" s="3">
        <v>10285</v>
      </c>
      <c r="B291" s="9" t="s">
        <v>294</v>
      </c>
      <c r="C291" s="4" t="s">
        <v>10</v>
      </c>
      <c r="D291" s="4">
        <v>11994.079563754722</v>
      </c>
    </row>
    <row r="292" spans="1:4" x14ac:dyDescent="0.25">
      <c r="A292" s="3">
        <v>10286</v>
      </c>
      <c r="B292" s="9" t="s">
        <v>295</v>
      </c>
      <c r="C292" s="4" t="s">
        <v>10</v>
      </c>
      <c r="D292" s="4">
        <v>11994.079563754722</v>
      </c>
    </row>
    <row r="293" spans="1:4" x14ac:dyDescent="0.25">
      <c r="A293" s="3">
        <v>10287</v>
      </c>
      <c r="B293" s="9" t="s">
        <v>296</v>
      </c>
      <c r="C293" s="4" t="s">
        <v>10</v>
      </c>
      <c r="D293" s="4">
        <v>11994.079563754722</v>
      </c>
    </row>
    <row r="294" spans="1:4" x14ac:dyDescent="0.25">
      <c r="A294" s="3">
        <v>10288</v>
      </c>
      <c r="B294" s="9" t="s">
        <v>297</v>
      </c>
      <c r="C294" s="4" t="s">
        <v>10</v>
      </c>
      <c r="D294" s="4">
        <v>11994.079563754722</v>
      </c>
    </row>
    <row r="295" spans="1:4" x14ac:dyDescent="0.25">
      <c r="A295" s="3">
        <v>10289</v>
      </c>
      <c r="B295" s="9" t="s">
        <v>298</v>
      </c>
      <c r="C295" s="4" t="s">
        <v>10</v>
      </c>
      <c r="D295" s="4">
        <v>11994.079563754722</v>
      </c>
    </row>
    <row r="296" spans="1:4" x14ac:dyDescent="0.25">
      <c r="A296" s="3">
        <v>10290</v>
      </c>
      <c r="B296" s="9" t="s">
        <v>299</v>
      </c>
      <c r="C296" s="4" t="s">
        <v>10</v>
      </c>
      <c r="D296" s="4">
        <v>11994.079563754722</v>
      </c>
    </row>
    <row r="297" spans="1:4" x14ac:dyDescent="0.25">
      <c r="A297" s="3">
        <v>10291</v>
      </c>
      <c r="B297" s="9" t="s">
        <v>300</v>
      </c>
      <c r="C297" s="4" t="s">
        <v>10</v>
      </c>
      <c r="D297" s="4">
        <v>11994.079563754722</v>
      </c>
    </row>
    <row r="298" spans="1:4" x14ac:dyDescent="0.25">
      <c r="A298" s="3">
        <v>10292</v>
      </c>
      <c r="B298" s="9" t="s">
        <v>301</v>
      </c>
      <c r="C298" s="4" t="s">
        <v>10</v>
      </c>
      <c r="D298" s="4">
        <v>11994.079563754722</v>
      </c>
    </row>
    <row r="299" spans="1:4" x14ac:dyDescent="0.25">
      <c r="A299" s="3">
        <v>10293</v>
      </c>
      <c r="B299" s="9" t="s">
        <v>302</v>
      </c>
      <c r="C299" s="4" t="s">
        <v>10</v>
      </c>
      <c r="D299" s="4">
        <v>11994.079563754722</v>
      </c>
    </row>
    <row r="300" spans="1:4" x14ac:dyDescent="0.25">
      <c r="A300" s="3">
        <v>10294</v>
      </c>
      <c r="B300" s="9" t="s">
        <v>303</v>
      </c>
      <c r="C300" s="4" t="s">
        <v>10</v>
      </c>
      <c r="D300" s="4">
        <v>11994.079563754722</v>
      </c>
    </row>
    <row r="301" spans="1:4" x14ac:dyDescent="0.25">
      <c r="A301" s="3">
        <v>10295</v>
      </c>
      <c r="B301" s="9" t="s">
        <v>304</v>
      </c>
      <c r="C301" s="4" t="s">
        <v>10</v>
      </c>
      <c r="D301" s="4">
        <v>11994.079563754722</v>
      </c>
    </row>
    <row r="302" spans="1:4" x14ac:dyDescent="0.25">
      <c r="A302" s="3">
        <v>10296</v>
      </c>
      <c r="B302" s="9" t="s">
        <v>305</v>
      </c>
      <c r="C302" s="4" t="s">
        <v>10</v>
      </c>
      <c r="D302" s="4">
        <v>11994.079563754722</v>
      </c>
    </row>
    <row r="303" spans="1:4" x14ac:dyDescent="0.25">
      <c r="A303" s="3">
        <v>10297</v>
      </c>
      <c r="B303" s="9" t="s">
        <v>306</v>
      </c>
      <c r="C303" s="4" t="s">
        <v>10</v>
      </c>
      <c r="D303" s="4">
        <v>11994.079563754722</v>
      </c>
    </row>
    <row r="304" spans="1:4" x14ac:dyDescent="0.25">
      <c r="A304" s="3">
        <v>10298</v>
      </c>
      <c r="B304" s="9" t="s">
        <v>307</v>
      </c>
      <c r="C304" s="4" t="s">
        <v>10</v>
      </c>
      <c r="D304" s="4">
        <v>11994.079563754722</v>
      </c>
    </row>
    <row r="305" spans="1:4" x14ac:dyDescent="0.25">
      <c r="A305" s="3">
        <v>10299</v>
      </c>
      <c r="B305" s="9" t="s">
        <v>308</v>
      </c>
      <c r="C305" s="4" t="s">
        <v>10</v>
      </c>
      <c r="D305" s="4">
        <v>11994.079563754722</v>
      </c>
    </row>
    <row r="306" spans="1:4" x14ac:dyDescent="0.25">
      <c r="A306" s="3">
        <v>10300</v>
      </c>
      <c r="B306" s="9" t="s">
        <v>309</v>
      </c>
      <c r="C306" s="4" t="s">
        <v>10</v>
      </c>
      <c r="D306" s="4">
        <v>11994.079563754722</v>
      </c>
    </row>
    <row r="307" spans="1:4" x14ac:dyDescent="0.25">
      <c r="A307" s="3">
        <v>10301</v>
      </c>
      <c r="B307" s="9" t="s">
        <v>310</v>
      </c>
      <c r="C307" s="4" t="s">
        <v>10</v>
      </c>
      <c r="D307" s="4">
        <v>11994.079563754722</v>
      </c>
    </row>
    <row r="308" spans="1:4" x14ac:dyDescent="0.25">
      <c r="A308" s="3">
        <v>10302</v>
      </c>
      <c r="B308" s="9" t="s">
        <v>311</v>
      </c>
      <c r="C308" s="4" t="s">
        <v>10</v>
      </c>
      <c r="D308" s="4">
        <v>11994.079563754722</v>
      </c>
    </row>
    <row r="309" spans="1:4" x14ac:dyDescent="0.25">
      <c r="A309" s="3">
        <v>10303</v>
      </c>
      <c r="B309" s="9" t="s">
        <v>312</v>
      </c>
      <c r="C309" s="4" t="s">
        <v>10</v>
      </c>
      <c r="D309" s="4">
        <v>11994.079563754722</v>
      </c>
    </row>
    <row r="310" spans="1:4" x14ac:dyDescent="0.25">
      <c r="A310" s="3">
        <v>10304</v>
      </c>
      <c r="B310" s="9" t="s">
        <v>313</v>
      </c>
      <c r="C310" s="4" t="s">
        <v>10</v>
      </c>
      <c r="D310" s="4">
        <v>11994.079563754722</v>
      </c>
    </row>
    <row r="311" spans="1:4" x14ac:dyDescent="0.25">
      <c r="A311" s="3">
        <v>10305</v>
      </c>
      <c r="B311" s="9" t="s">
        <v>314</v>
      </c>
      <c r="C311" s="4" t="s">
        <v>10</v>
      </c>
      <c r="D311" s="4">
        <v>11994.079563754722</v>
      </c>
    </row>
    <row r="312" spans="1:4" x14ac:dyDescent="0.25">
      <c r="A312" s="3">
        <v>10306</v>
      </c>
      <c r="B312" s="9" t="s">
        <v>315</v>
      </c>
      <c r="C312" s="4" t="s">
        <v>10</v>
      </c>
      <c r="D312" s="4">
        <v>11994.079563754722</v>
      </c>
    </row>
    <row r="313" spans="1:4" x14ac:dyDescent="0.25">
      <c r="A313" s="3">
        <v>10307</v>
      </c>
      <c r="B313" s="9" t="s">
        <v>316</v>
      </c>
      <c r="C313" s="4" t="s">
        <v>10</v>
      </c>
      <c r="D313" s="4">
        <v>11994.079563754722</v>
      </c>
    </row>
    <row r="314" spans="1:4" x14ac:dyDescent="0.25">
      <c r="A314" s="3">
        <v>10308</v>
      </c>
      <c r="B314" s="9" t="s">
        <v>317</v>
      </c>
      <c r="C314" s="4" t="s">
        <v>10</v>
      </c>
      <c r="D314" s="4">
        <v>11994.079563754722</v>
      </c>
    </row>
    <row r="315" spans="1:4" x14ac:dyDescent="0.25">
      <c r="A315" s="3">
        <v>10309</v>
      </c>
      <c r="B315" s="9" t="s">
        <v>318</v>
      </c>
      <c r="C315" s="4" t="s">
        <v>10</v>
      </c>
      <c r="D315" s="4">
        <v>11994.079563754722</v>
      </c>
    </row>
    <row r="316" spans="1:4" x14ac:dyDescent="0.25">
      <c r="A316" s="3">
        <v>10310</v>
      </c>
      <c r="B316" s="9" t="s">
        <v>319</v>
      </c>
      <c r="C316" s="4" t="s">
        <v>10</v>
      </c>
      <c r="D316" s="4">
        <v>11994.079563754722</v>
      </c>
    </row>
    <row r="317" spans="1:4" x14ac:dyDescent="0.25">
      <c r="A317" s="3">
        <v>10311</v>
      </c>
      <c r="B317" s="9" t="s">
        <v>320</v>
      </c>
      <c r="C317" s="4" t="s">
        <v>10</v>
      </c>
      <c r="D317" s="4">
        <v>11994.079563754722</v>
      </c>
    </row>
    <row r="318" spans="1:4" x14ac:dyDescent="0.25">
      <c r="A318" s="3">
        <v>10312</v>
      </c>
      <c r="B318" s="9" t="s">
        <v>321</v>
      </c>
      <c r="C318" s="4" t="s">
        <v>10</v>
      </c>
      <c r="D318" s="4">
        <v>11994.079563754722</v>
      </c>
    </row>
    <row r="319" spans="1:4" x14ac:dyDescent="0.25">
      <c r="A319" s="3">
        <v>10313</v>
      </c>
      <c r="B319" s="9" t="s">
        <v>322</v>
      </c>
      <c r="C319" s="4" t="s">
        <v>10</v>
      </c>
      <c r="D319" s="4">
        <v>11994.079563754722</v>
      </c>
    </row>
    <row r="320" spans="1:4" x14ac:dyDescent="0.25">
      <c r="A320" s="3">
        <v>10314</v>
      </c>
      <c r="B320" s="9" t="s">
        <v>323</v>
      </c>
      <c r="C320" s="4" t="s">
        <v>10</v>
      </c>
      <c r="D320" s="4">
        <v>11994.079563754722</v>
      </c>
    </row>
    <row r="321" spans="1:4" x14ac:dyDescent="0.25">
      <c r="A321" s="3">
        <v>10315</v>
      </c>
      <c r="B321" s="9" t="s">
        <v>324</v>
      </c>
      <c r="C321" s="4" t="s">
        <v>10</v>
      </c>
      <c r="D321" s="4">
        <v>11994.079563754722</v>
      </c>
    </row>
    <row r="322" spans="1:4" x14ac:dyDescent="0.25">
      <c r="A322" s="3">
        <v>10316</v>
      </c>
      <c r="B322" s="9" t="s">
        <v>325</v>
      </c>
      <c r="C322" s="4" t="s">
        <v>10</v>
      </c>
      <c r="D322" s="4">
        <v>11994.079563754722</v>
      </c>
    </row>
    <row r="323" spans="1:4" x14ac:dyDescent="0.25">
      <c r="A323" s="3">
        <v>10317</v>
      </c>
      <c r="B323" s="9" t="s">
        <v>326</v>
      </c>
      <c r="C323" s="4" t="s">
        <v>10</v>
      </c>
      <c r="D323" s="4">
        <v>11994.079563754722</v>
      </c>
    </row>
    <row r="324" spans="1:4" x14ac:dyDescent="0.25">
      <c r="A324" s="3">
        <v>10318</v>
      </c>
      <c r="B324" s="9" t="s">
        <v>327</v>
      </c>
      <c r="C324" s="4" t="s">
        <v>10</v>
      </c>
      <c r="D324" s="4">
        <v>11994.079563754722</v>
      </c>
    </row>
    <row r="325" spans="1:4" x14ac:dyDescent="0.25">
      <c r="A325" s="3">
        <v>10319</v>
      </c>
      <c r="B325" s="9" t="s">
        <v>328</v>
      </c>
      <c r="C325" s="4" t="s">
        <v>10</v>
      </c>
      <c r="D325" s="4">
        <v>11994.079563754722</v>
      </c>
    </row>
    <row r="326" spans="1:4" x14ac:dyDescent="0.25">
      <c r="A326" s="3">
        <v>10320</v>
      </c>
      <c r="B326" s="9" t="s">
        <v>329</v>
      </c>
      <c r="C326" s="4" t="s">
        <v>10</v>
      </c>
      <c r="D326" s="4">
        <v>11994.079563754722</v>
      </c>
    </row>
    <row r="327" spans="1:4" x14ac:dyDescent="0.25">
      <c r="A327" s="3">
        <v>10321</v>
      </c>
      <c r="B327" s="9" t="s">
        <v>330</v>
      </c>
      <c r="C327" s="4" t="s">
        <v>10</v>
      </c>
      <c r="D327" s="4">
        <v>11994.079563754722</v>
      </c>
    </row>
    <row r="328" spans="1:4" x14ac:dyDescent="0.25">
      <c r="A328" s="3">
        <v>10322</v>
      </c>
      <c r="B328" s="9" t="s">
        <v>331</v>
      </c>
      <c r="C328" s="4" t="s">
        <v>10</v>
      </c>
      <c r="D328" s="4">
        <v>11994.079563754722</v>
      </c>
    </row>
    <row r="329" spans="1:4" x14ac:dyDescent="0.25">
      <c r="A329" s="3">
        <v>10323</v>
      </c>
      <c r="B329" s="9" t="s">
        <v>332</v>
      </c>
      <c r="C329" s="4" t="s">
        <v>10</v>
      </c>
      <c r="D329" s="4">
        <v>11994.079563754722</v>
      </c>
    </row>
    <row r="330" spans="1:4" x14ac:dyDescent="0.25">
      <c r="A330" s="3">
        <v>10324</v>
      </c>
      <c r="B330" s="9" t="s">
        <v>333</v>
      </c>
      <c r="C330" s="4" t="s">
        <v>10</v>
      </c>
      <c r="D330" s="4">
        <v>11994.079563754722</v>
      </c>
    </row>
    <row r="331" spans="1:4" x14ac:dyDescent="0.25">
      <c r="A331" s="3">
        <v>10325</v>
      </c>
      <c r="B331" s="9" t="s">
        <v>334</v>
      </c>
      <c r="C331" s="4" t="s">
        <v>10</v>
      </c>
      <c r="D331" s="4">
        <v>11994.079563754722</v>
      </c>
    </row>
    <row r="332" spans="1:4" x14ac:dyDescent="0.25">
      <c r="A332" s="3">
        <v>10326</v>
      </c>
      <c r="B332" s="9" t="s">
        <v>335</v>
      </c>
      <c r="C332" s="4" t="s">
        <v>10</v>
      </c>
      <c r="D332" s="4">
        <v>11994.079563754722</v>
      </c>
    </row>
    <row r="333" spans="1:4" x14ac:dyDescent="0.25">
      <c r="A333" s="3">
        <v>10327</v>
      </c>
      <c r="B333" s="9" t="s">
        <v>336</v>
      </c>
      <c r="C333" s="4" t="s">
        <v>10</v>
      </c>
      <c r="D333" s="4">
        <v>11994.079563754722</v>
      </c>
    </row>
    <row r="334" spans="1:4" x14ac:dyDescent="0.25">
      <c r="A334" s="3">
        <v>10328</v>
      </c>
      <c r="B334" s="9" t="s">
        <v>337</v>
      </c>
      <c r="C334" s="4" t="s">
        <v>10</v>
      </c>
      <c r="D334" s="4">
        <v>11994.079563754722</v>
      </c>
    </row>
    <row r="335" spans="1:4" x14ac:dyDescent="0.25">
      <c r="A335" s="3">
        <v>10329</v>
      </c>
      <c r="B335" s="9" t="s">
        <v>338</v>
      </c>
      <c r="C335" s="4" t="s">
        <v>10</v>
      </c>
      <c r="D335" s="4">
        <v>11994.079563754722</v>
      </c>
    </row>
    <row r="336" spans="1:4" x14ac:dyDescent="0.25">
      <c r="A336" s="3">
        <v>10330</v>
      </c>
      <c r="B336" s="9" t="s">
        <v>339</v>
      </c>
      <c r="C336" s="4" t="s">
        <v>10</v>
      </c>
      <c r="D336" s="4">
        <v>11994.079563754722</v>
      </c>
    </row>
    <row r="337" spans="1:4" x14ac:dyDescent="0.25">
      <c r="A337" s="3">
        <v>10331</v>
      </c>
      <c r="B337" s="9" t="s">
        <v>340</v>
      </c>
      <c r="C337" s="4" t="s">
        <v>10</v>
      </c>
      <c r="D337" s="4">
        <v>11994.079563754722</v>
      </c>
    </row>
    <row r="338" spans="1:4" x14ac:dyDescent="0.25">
      <c r="A338" s="3">
        <v>10332</v>
      </c>
      <c r="B338" s="9" t="s">
        <v>341</v>
      </c>
      <c r="C338" s="4" t="s">
        <v>10</v>
      </c>
      <c r="D338" s="4">
        <v>11994.079563754722</v>
      </c>
    </row>
    <row r="339" spans="1:4" x14ac:dyDescent="0.25">
      <c r="A339" s="3">
        <v>10333</v>
      </c>
      <c r="B339" s="9" t="s">
        <v>342</v>
      </c>
      <c r="C339" s="4" t="s">
        <v>10</v>
      </c>
      <c r="D339" s="4">
        <v>11994.079563754722</v>
      </c>
    </row>
    <row r="340" spans="1:4" x14ac:dyDescent="0.25">
      <c r="A340" s="3">
        <v>10334</v>
      </c>
      <c r="B340" s="9" t="s">
        <v>343</v>
      </c>
      <c r="C340" s="4" t="s">
        <v>10</v>
      </c>
      <c r="D340" s="4">
        <v>11994.079563754722</v>
      </c>
    </row>
    <row r="341" spans="1:4" x14ac:dyDescent="0.25">
      <c r="A341" s="3">
        <v>10335</v>
      </c>
      <c r="B341" s="9" t="s">
        <v>344</v>
      </c>
      <c r="C341" s="4" t="s">
        <v>10</v>
      </c>
      <c r="D341" s="4">
        <v>11994.079563754722</v>
      </c>
    </row>
    <row r="342" spans="1:4" x14ac:dyDescent="0.25">
      <c r="A342" s="3">
        <v>10336</v>
      </c>
      <c r="B342" s="9" t="s">
        <v>345</v>
      </c>
      <c r="C342" s="4" t="s">
        <v>10</v>
      </c>
      <c r="D342" s="4">
        <v>11994.079563754722</v>
      </c>
    </row>
    <row r="343" spans="1:4" x14ac:dyDescent="0.25">
      <c r="A343" s="3">
        <v>10337</v>
      </c>
      <c r="B343" s="9" t="s">
        <v>346</v>
      </c>
      <c r="C343" s="4" t="s">
        <v>10</v>
      </c>
      <c r="D343" s="4">
        <v>11994.079563754722</v>
      </c>
    </row>
    <row r="344" spans="1:4" x14ac:dyDescent="0.25">
      <c r="A344" s="3">
        <v>10338</v>
      </c>
      <c r="B344" s="9" t="s">
        <v>347</v>
      </c>
      <c r="C344" s="4" t="s">
        <v>10</v>
      </c>
      <c r="D344" s="4">
        <v>11994.079563754722</v>
      </c>
    </row>
    <row r="345" spans="1:4" x14ac:dyDescent="0.25">
      <c r="A345" s="3">
        <v>10339</v>
      </c>
      <c r="B345" s="9" t="s">
        <v>348</v>
      </c>
      <c r="C345" s="4" t="s">
        <v>10</v>
      </c>
      <c r="D345" s="4">
        <v>11994.079563754722</v>
      </c>
    </row>
    <row r="346" spans="1:4" x14ac:dyDescent="0.25">
      <c r="A346" s="3">
        <v>10340</v>
      </c>
      <c r="B346" s="9" t="s">
        <v>349</v>
      </c>
      <c r="C346" s="4" t="s">
        <v>10</v>
      </c>
      <c r="D346" s="4">
        <v>11994.079563754722</v>
      </c>
    </row>
    <row r="347" spans="1:4" x14ac:dyDescent="0.25">
      <c r="A347" s="3">
        <v>10341</v>
      </c>
      <c r="B347" s="9" t="s">
        <v>350</v>
      </c>
      <c r="C347" s="4" t="s">
        <v>10</v>
      </c>
      <c r="D347" s="4">
        <v>11994.079563754722</v>
      </c>
    </row>
    <row r="348" spans="1:4" x14ac:dyDescent="0.25">
      <c r="A348" s="3">
        <v>10342</v>
      </c>
      <c r="B348" s="9" t="s">
        <v>351</v>
      </c>
      <c r="C348" s="4" t="s">
        <v>10</v>
      </c>
      <c r="D348" s="4">
        <v>11994.079563754722</v>
      </c>
    </row>
    <row r="349" spans="1:4" x14ac:dyDescent="0.25">
      <c r="A349" s="3">
        <v>10343</v>
      </c>
      <c r="B349" s="9" t="s">
        <v>352</v>
      </c>
      <c r="C349" s="4" t="s">
        <v>10</v>
      </c>
      <c r="D349" s="4">
        <v>11994.079563754722</v>
      </c>
    </row>
    <row r="350" spans="1:4" x14ac:dyDescent="0.25">
      <c r="A350" s="3">
        <v>10344</v>
      </c>
      <c r="B350" s="9" t="s">
        <v>353</v>
      </c>
      <c r="C350" s="4" t="s">
        <v>10</v>
      </c>
      <c r="D350" s="4">
        <v>11994.079563754722</v>
      </c>
    </row>
    <row r="351" spans="1:4" x14ac:dyDescent="0.25">
      <c r="A351" s="3">
        <v>10345</v>
      </c>
      <c r="B351" s="9" t="s">
        <v>354</v>
      </c>
      <c r="C351" s="4" t="s">
        <v>10</v>
      </c>
      <c r="D351" s="4">
        <v>11994.079563754722</v>
      </c>
    </row>
    <row r="352" spans="1:4" x14ac:dyDescent="0.25">
      <c r="A352" s="3">
        <v>10346</v>
      </c>
      <c r="B352" s="9" t="s">
        <v>355</v>
      </c>
      <c r="C352" s="4" t="s">
        <v>10</v>
      </c>
      <c r="D352" s="4">
        <v>11994.079563754722</v>
      </c>
    </row>
    <row r="353" spans="1:4" x14ac:dyDescent="0.25">
      <c r="A353" s="3">
        <v>10347</v>
      </c>
      <c r="B353" s="9" t="s">
        <v>356</v>
      </c>
      <c r="C353" s="4" t="s">
        <v>10</v>
      </c>
      <c r="D353" s="4">
        <v>11994.079563754722</v>
      </c>
    </row>
    <row r="354" spans="1:4" x14ac:dyDescent="0.25">
      <c r="A354" s="3">
        <v>10348</v>
      </c>
      <c r="B354" s="9" t="s">
        <v>357</v>
      </c>
      <c r="C354" s="4" t="s">
        <v>10</v>
      </c>
      <c r="D354" s="4">
        <v>11994.079563754722</v>
      </c>
    </row>
    <row r="355" spans="1:4" x14ac:dyDescent="0.25">
      <c r="A355" s="3">
        <v>10349</v>
      </c>
      <c r="B355" s="9" t="s">
        <v>358</v>
      </c>
      <c r="C355" s="4" t="s">
        <v>10</v>
      </c>
      <c r="D355" s="4">
        <v>11994.079563754722</v>
      </c>
    </row>
    <row r="356" spans="1:4" x14ac:dyDescent="0.25">
      <c r="A356" s="3">
        <v>10350</v>
      </c>
      <c r="B356" s="9" t="s">
        <v>359</v>
      </c>
      <c r="C356" s="4" t="s">
        <v>10</v>
      </c>
      <c r="D356" s="4">
        <v>11994.079563754722</v>
      </c>
    </row>
    <row r="357" spans="1:4" x14ac:dyDescent="0.25">
      <c r="A357" s="3">
        <v>10351</v>
      </c>
      <c r="B357" s="9" t="s">
        <v>360</v>
      </c>
      <c r="C357" s="4" t="s">
        <v>10</v>
      </c>
      <c r="D357" s="4">
        <v>11994.079563754722</v>
      </c>
    </row>
    <row r="358" spans="1:4" x14ac:dyDescent="0.25">
      <c r="A358" s="3">
        <v>10352</v>
      </c>
      <c r="B358" s="9" t="s">
        <v>361</v>
      </c>
      <c r="C358" s="4" t="s">
        <v>10</v>
      </c>
      <c r="D358" s="4">
        <v>11994.079563754722</v>
      </c>
    </row>
    <row r="359" spans="1:4" x14ac:dyDescent="0.25">
      <c r="A359" s="3">
        <v>10353</v>
      </c>
      <c r="B359" s="9" t="s">
        <v>362</v>
      </c>
      <c r="C359" s="4" t="s">
        <v>10</v>
      </c>
      <c r="D359" s="4">
        <v>11994.079563754722</v>
      </c>
    </row>
    <row r="360" spans="1:4" x14ac:dyDescent="0.25">
      <c r="A360" s="3">
        <v>10354</v>
      </c>
      <c r="B360" s="9" t="s">
        <v>363</v>
      </c>
      <c r="C360" s="4" t="s">
        <v>10</v>
      </c>
      <c r="D360" s="4">
        <v>11994.079563754722</v>
      </c>
    </row>
    <row r="361" spans="1:4" x14ac:dyDescent="0.25">
      <c r="A361" s="3">
        <v>10355</v>
      </c>
      <c r="B361" s="9" t="s">
        <v>364</v>
      </c>
      <c r="C361" s="4" t="s">
        <v>10</v>
      </c>
      <c r="D361" s="4">
        <v>11994.079563754722</v>
      </c>
    </row>
    <row r="362" spans="1:4" x14ac:dyDescent="0.25">
      <c r="A362" s="3">
        <v>10356</v>
      </c>
      <c r="B362" s="9" t="s">
        <v>365</v>
      </c>
      <c r="C362" s="4" t="s">
        <v>10</v>
      </c>
      <c r="D362" s="4">
        <v>11994.079563754722</v>
      </c>
    </row>
    <row r="363" spans="1:4" x14ac:dyDescent="0.25">
      <c r="A363" s="3">
        <v>10357</v>
      </c>
      <c r="B363" s="9" t="s">
        <v>366</v>
      </c>
      <c r="C363" s="4" t="s">
        <v>10</v>
      </c>
      <c r="D363" s="4">
        <v>11994.079563754722</v>
      </c>
    </row>
    <row r="364" spans="1:4" x14ac:dyDescent="0.25">
      <c r="A364" s="3">
        <v>10358</v>
      </c>
      <c r="B364" s="9" t="s">
        <v>367</v>
      </c>
      <c r="C364" s="4" t="s">
        <v>10</v>
      </c>
      <c r="D364" s="4">
        <v>11994.079563754722</v>
      </c>
    </row>
    <row r="365" spans="1:4" x14ac:dyDescent="0.25">
      <c r="A365" s="3">
        <v>10359</v>
      </c>
      <c r="B365" s="9" t="s">
        <v>368</v>
      </c>
      <c r="C365" s="4" t="s">
        <v>10</v>
      </c>
      <c r="D365" s="4">
        <v>11994.079563754722</v>
      </c>
    </row>
    <row r="366" spans="1:4" x14ac:dyDescent="0.25">
      <c r="A366" s="3">
        <v>10360</v>
      </c>
      <c r="B366" s="9" t="s">
        <v>369</v>
      </c>
      <c r="C366" s="4" t="s">
        <v>10</v>
      </c>
      <c r="D366" s="4">
        <v>11994.079563754722</v>
      </c>
    </row>
    <row r="367" spans="1:4" x14ac:dyDescent="0.25">
      <c r="A367" s="3">
        <v>10361</v>
      </c>
      <c r="B367" s="9" t="s">
        <v>370</v>
      </c>
      <c r="C367" s="4" t="s">
        <v>10</v>
      </c>
      <c r="D367" s="4">
        <v>11994.079563754722</v>
      </c>
    </row>
    <row r="368" spans="1:4" x14ac:dyDescent="0.25">
      <c r="A368" s="3">
        <v>10362</v>
      </c>
      <c r="B368" s="9" t="s">
        <v>371</v>
      </c>
      <c r="C368" s="4" t="s">
        <v>10</v>
      </c>
      <c r="D368" s="4">
        <v>11994.079563754722</v>
      </c>
    </row>
    <row r="369" spans="1:4" x14ac:dyDescent="0.25">
      <c r="A369" s="3">
        <v>10363</v>
      </c>
      <c r="B369" s="9" t="s">
        <v>372</v>
      </c>
      <c r="C369" s="4" t="s">
        <v>10</v>
      </c>
      <c r="D369" s="4">
        <v>11994.079563754722</v>
      </c>
    </row>
    <row r="370" spans="1:4" x14ac:dyDescent="0.25">
      <c r="A370" s="3">
        <v>10364</v>
      </c>
      <c r="B370" s="9" t="s">
        <v>373</v>
      </c>
      <c r="C370" s="4" t="s">
        <v>10</v>
      </c>
      <c r="D370" s="4">
        <v>11994.079563754722</v>
      </c>
    </row>
    <row r="371" spans="1:4" x14ac:dyDescent="0.25">
      <c r="A371" s="3">
        <v>10365</v>
      </c>
      <c r="B371" s="9" t="s">
        <v>374</v>
      </c>
      <c r="C371" s="4" t="s">
        <v>10</v>
      </c>
      <c r="D371" s="4">
        <v>11994.079563754722</v>
      </c>
    </row>
    <row r="372" spans="1:4" x14ac:dyDescent="0.25">
      <c r="A372" s="3">
        <v>10366</v>
      </c>
      <c r="B372" s="9" t="s">
        <v>375</v>
      </c>
      <c r="C372" s="4" t="s">
        <v>10</v>
      </c>
      <c r="D372" s="4">
        <v>11994.079563754722</v>
      </c>
    </row>
    <row r="373" spans="1:4" x14ac:dyDescent="0.25">
      <c r="A373" s="3">
        <v>10367</v>
      </c>
      <c r="B373" s="9" t="s">
        <v>376</v>
      </c>
      <c r="C373" s="4" t="s">
        <v>10</v>
      </c>
      <c r="D373" s="4">
        <v>11994.079563754722</v>
      </c>
    </row>
    <row r="374" spans="1:4" x14ac:dyDescent="0.25">
      <c r="A374" s="3">
        <v>10368</v>
      </c>
      <c r="B374" s="9" t="s">
        <v>377</v>
      </c>
      <c r="C374" s="4" t="s">
        <v>10</v>
      </c>
      <c r="D374" s="4">
        <v>11994.079563754722</v>
      </c>
    </row>
    <row r="375" spans="1:4" x14ac:dyDescent="0.25">
      <c r="A375" s="3">
        <v>10369</v>
      </c>
      <c r="B375" s="9" t="s">
        <v>378</v>
      </c>
      <c r="C375" s="4" t="s">
        <v>10</v>
      </c>
      <c r="D375" s="4">
        <v>11994.079563754722</v>
      </c>
    </row>
    <row r="376" spans="1:4" x14ac:dyDescent="0.25">
      <c r="A376" s="3">
        <v>10370</v>
      </c>
      <c r="B376" s="9" t="s">
        <v>379</v>
      </c>
      <c r="C376" s="4" t="s">
        <v>10</v>
      </c>
      <c r="D376" s="4">
        <v>11994.079563754722</v>
      </c>
    </row>
    <row r="377" spans="1:4" x14ac:dyDescent="0.25">
      <c r="A377" s="3">
        <v>10371</v>
      </c>
      <c r="B377" s="9" t="s">
        <v>380</v>
      </c>
      <c r="C377" s="4" t="s">
        <v>10</v>
      </c>
      <c r="D377" s="4">
        <v>11994.079563754722</v>
      </c>
    </row>
    <row r="378" spans="1:4" x14ac:dyDescent="0.25">
      <c r="A378" s="3">
        <v>10372</v>
      </c>
      <c r="B378" s="9" t="s">
        <v>381</v>
      </c>
      <c r="C378" s="4" t="s">
        <v>10</v>
      </c>
      <c r="D378" s="4">
        <v>11994.079563754722</v>
      </c>
    </row>
    <row r="379" spans="1:4" x14ac:dyDescent="0.25">
      <c r="A379" s="3">
        <v>10373</v>
      </c>
      <c r="B379" s="9" t="s">
        <v>382</v>
      </c>
      <c r="C379" s="4" t="s">
        <v>10</v>
      </c>
      <c r="D379" s="4">
        <v>11994.079563754722</v>
      </c>
    </row>
    <row r="380" spans="1:4" x14ac:dyDescent="0.25">
      <c r="A380" s="3">
        <v>10374</v>
      </c>
      <c r="B380" s="9" t="s">
        <v>383</v>
      </c>
      <c r="C380" s="4" t="s">
        <v>10</v>
      </c>
      <c r="D380" s="4">
        <v>11994.079563754722</v>
      </c>
    </row>
    <row r="381" spans="1:4" x14ac:dyDescent="0.25">
      <c r="A381" s="3">
        <v>10375</v>
      </c>
      <c r="B381" s="9" t="s">
        <v>384</v>
      </c>
      <c r="C381" s="4" t="s">
        <v>10</v>
      </c>
      <c r="D381" s="4">
        <v>11994.079563754722</v>
      </c>
    </row>
    <row r="382" spans="1:4" x14ac:dyDescent="0.25">
      <c r="A382" s="3">
        <v>10376</v>
      </c>
      <c r="B382" s="9" t="s">
        <v>385</v>
      </c>
      <c r="C382" s="4" t="s">
        <v>10</v>
      </c>
      <c r="D382" s="4">
        <v>11994.079563754722</v>
      </c>
    </row>
    <row r="383" spans="1:4" x14ac:dyDescent="0.25">
      <c r="A383" s="3">
        <v>10377</v>
      </c>
      <c r="B383" s="9" t="s">
        <v>386</v>
      </c>
      <c r="C383" s="4" t="s">
        <v>10</v>
      </c>
      <c r="D383" s="4">
        <v>11994.079563754722</v>
      </c>
    </row>
    <row r="384" spans="1:4" x14ac:dyDescent="0.25">
      <c r="A384" s="3">
        <v>10378</v>
      </c>
      <c r="B384" s="9" t="s">
        <v>387</v>
      </c>
      <c r="C384" s="4" t="s">
        <v>10</v>
      </c>
      <c r="D384" s="4">
        <v>11994.079563754722</v>
      </c>
    </row>
    <row r="385" spans="1:4" x14ac:dyDescent="0.25">
      <c r="A385" s="3">
        <v>10379</v>
      </c>
      <c r="B385" s="9" t="s">
        <v>388</v>
      </c>
      <c r="C385" s="4" t="s">
        <v>10</v>
      </c>
      <c r="D385" s="4">
        <v>11994.079563754722</v>
      </c>
    </row>
    <row r="386" spans="1:4" x14ac:dyDescent="0.25">
      <c r="A386" s="3">
        <v>10380</v>
      </c>
      <c r="B386" s="9" t="s">
        <v>389</v>
      </c>
      <c r="C386" s="4" t="s">
        <v>10</v>
      </c>
      <c r="D386" s="4">
        <v>11994.079563754722</v>
      </c>
    </row>
    <row r="387" spans="1:4" x14ac:dyDescent="0.25">
      <c r="A387" s="3">
        <v>10381</v>
      </c>
      <c r="B387" s="9" t="s">
        <v>390</v>
      </c>
      <c r="C387" s="4" t="s">
        <v>10</v>
      </c>
      <c r="D387" s="4">
        <v>11994.079563754722</v>
      </c>
    </row>
    <row r="388" spans="1:4" x14ac:dyDescent="0.25">
      <c r="A388" s="3">
        <v>10382</v>
      </c>
      <c r="B388" s="9" t="s">
        <v>391</v>
      </c>
      <c r="C388" s="4" t="s">
        <v>10</v>
      </c>
      <c r="D388" s="4">
        <v>11994.079563754722</v>
      </c>
    </row>
    <row r="389" spans="1:4" x14ac:dyDescent="0.25">
      <c r="A389" s="3">
        <v>10383</v>
      </c>
      <c r="B389" s="9" t="s">
        <v>392</v>
      </c>
      <c r="C389" s="4" t="s">
        <v>10</v>
      </c>
      <c r="D389" s="4">
        <v>11994.079563754722</v>
      </c>
    </row>
    <row r="390" spans="1:4" x14ac:dyDescent="0.25">
      <c r="A390" s="3">
        <v>10384</v>
      </c>
      <c r="B390" s="9" t="s">
        <v>393</v>
      </c>
      <c r="C390" s="4" t="s">
        <v>10</v>
      </c>
      <c r="D390" s="4">
        <v>11994.079563754722</v>
      </c>
    </row>
    <row r="391" spans="1:4" x14ac:dyDescent="0.25">
      <c r="A391" s="3">
        <v>10385</v>
      </c>
      <c r="B391" s="9" t="s">
        <v>394</v>
      </c>
      <c r="C391" s="4" t="s">
        <v>10</v>
      </c>
      <c r="D391" s="4">
        <v>11994.079563754722</v>
      </c>
    </row>
    <row r="392" spans="1:4" x14ac:dyDescent="0.25">
      <c r="A392" s="3">
        <v>10386</v>
      </c>
      <c r="B392" s="9" t="s">
        <v>395</v>
      </c>
      <c r="C392" s="4" t="s">
        <v>10</v>
      </c>
      <c r="D392" s="4">
        <v>11994.079563754722</v>
      </c>
    </row>
    <row r="393" spans="1:4" x14ac:dyDescent="0.25">
      <c r="A393" s="3">
        <v>10387</v>
      </c>
      <c r="B393" s="9" t="s">
        <v>396</v>
      </c>
      <c r="C393" s="4" t="s">
        <v>10</v>
      </c>
      <c r="D393" s="4">
        <v>11994.079563754722</v>
      </c>
    </row>
    <row r="394" spans="1:4" x14ac:dyDescent="0.25">
      <c r="A394" s="3">
        <v>10388</v>
      </c>
      <c r="B394" s="9" t="s">
        <v>397</v>
      </c>
      <c r="C394" s="4" t="s">
        <v>10</v>
      </c>
      <c r="D394" s="4">
        <v>11994.079563754722</v>
      </c>
    </row>
    <row r="395" spans="1:4" x14ac:dyDescent="0.25">
      <c r="A395" s="3">
        <v>10389</v>
      </c>
      <c r="B395" s="9" t="s">
        <v>398</v>
      </c>
      <c r="C395" s="4" t="s">
        <v>10</v>
      </c>
      <c r="D395" s="4">
        <v>11994.079563754722</v>
      </c>
    </row>
    <row r="396" spans="1:4" x14ac:dyDescent="0.25">
      <c r="A396" s="3">
        <v>10390</v>
      </c>
      <c r="B396" s="9" t="s">
        <v>399</v>
      </c>
      <c r="C396" s="4" t="s">
        <v>10</v>
      </c>
      <c r="D396" s="4">
        <v>11994.079563754722</v>
      </c>
    </row>
    <row r="397" spans="1:4" x14ac:dyDescent="0.25">
      <c r="A397" s="3">
        <v>10391</v>
      </c>
      <c r="B397" s="9" t="s">
        <v>400</v>
      </c>
      <c r="C397" s="4" t="s">
        <v>10</v>
      </c>
      <c r="D397" s="4">
        <v>11994.079563754722</v>
      </c>
    </row>
    <row r="398" spans="1:4" x14ac:dyDescent="0.25">
      <c r="A398" s="3">
        <v>10392</v>
      </c>
      <c r="B398" s="9" t="s">
        <v>401</v>
      </c>
      <c r="C398" s="4" t="s">
        <v>10</v>
      </c>
      <c r="D398" s="4">
        <v>11994.079563754722</v>
      </c>
    </row>
    <row r="399" spans="1:4" x14ac:dyDescent="0.25">
      <c r="A399" s="3">
        <v>10393</v>
      </c>
      <c r="B399" s="9" t="s">
        <v>402</v>
      </c>
      <c r="C399" s="4" t="s">
        <v>10</v>
      </c>
      <c r="D399" s="4">
        <v>11994.079563754722</v>
      </c>
    </row>
    <row r="400" spans="1:4" x14ac:dyDescent="0.25">
      <c r="A400" s="3">
        <v>10394</v>
      </c>
      <c r="B400" s="9" t="s">
        <v>403</v>
      </c>
      <c r="C400" s="4" t="s">
        <v>10</v>
      </c>
      <c r="D400" s="4">
        <v>11994.079563754722</v>
      </c>
    </row>
    <row r="401" spans="1:4" x14ac:dyDescent="0.25">
      <c r="A401" s="3">
        <v>10395</v>
      </c>
      <c r="B401" s="9" t="s">
        <v>404</v>
      </c>
      <c r="C401" s="4" t="s">
        <v>10</v>
      </c>
      <c r="D401" s="4">
        <v>11994.079563754722</v>
      </c>
    </row>
    <row r="402" spans="1:4" x14ac:dyDescent="0.25">
      <c r="A402" s="3">
        <v>10396</v>
      </c>
      <c r="B402" s="9" t="s">
        <v>405</v>
      </c>
      <c r="C402" s="4" t="s">
        <v>10</v>
      </c>
      <c r="D402" s="4">
        <v>11994.079563754722</v>
      </c>
    </row>
    <row r="403" spans="1:4" x14ac:dyDescent="0.25">
      <c r="A403" s="3">
        <v>10397</v>
      </c>
      <c r="B403" s="9" t="s">
        <v>406</v>
      </c>
      <c r="C403" s="4" t="s">
        <v>10</v>
      </c>
      <c r="D403" s="4">
        <v>11994.079563754722</v>
      </c>
    </row>
    <row r="404" spans="1:4" x14ac:dyDescent="0.25">
      <c r="A404" s="3">
        <v>10398</v>
      </c>
      <c r="B404" s="9" t="s">
        <v>407</v>
      </c>
      <c r="C404" s="4" t="s">
        <v>10</v>
      </c>
      <c r="D404" s="4">
        <v>11994.079563754722</v>
      </c>
    </row>
    <row r="405" spans="1:4" x14ac:dyDescent="0.25">
      <c r="A405" s="3">
        <v>10399</v>
      </c>
      <c r="B405" s="9" t="s">
        <v>408</v>
      </c>
      <c r="C405" s="4" t="s">
        <v>10</v>
      </c>
      <c r="D405" s="4">
        <v>11994.079563754722</v>
      </c>
    </row>
    <row r="406" spans="1:4" x14ac:dyDescent="0.25">
      <c r="A406" s="3">
        <v>10400</v>
      </c>
      <c r="B406" s="9" t="s">
        <v>409</v>
      </c>
      <c r="C406" s="4" t="s">
        <v>10</v>
      </c>
      <c r="D406" s="4">
        <v>11994.079563754722</v>
      </c>
    </row>
    <row r="407" spans="1:4" x14ac:dyDescent="0.25">
      <c r="A407" s="3">
        <v>10401</v>
      </c>
      <c r="B407" s="9" t="s">
        <v>410</v>
      </c>
      <c r="C407" s="4" t="s">
        <v>10</v>
      </c>
      <c r="D407" s="4">
        <v>11994.079563754722</v>
      </c>
    </row>
    <row r="408" spans="1:4" x14ac:dyDescent="0.25">
      <c r="A408" s="3">
        <v>10402</v>
      </c>
      <c r="B408" s="9" t="s">
        <v>411</v>
      </c>
      <c r="C408" s="4" t="s">
        <v>10</v>
      </c>
      <c r="D408" s="4">
        <v>11994.079563754722</v>
      </c>
    </row>
    <row r="409" spans="1:4" x14ac:dyDescent="0.25">
      <c r="A409" s="3">
        <v>10403</v>
      </c>
      <c r="B409" s="9" t="s">
        <v>412</v>
      </c>
      <c r="C409" s="4" t="s">
        <v>10</v>
      </c>
      <c r="D409" s="4">
        <v>11994.079563754722</v>
      </c>
    </row>
    <row r="410" spans="1:4" x14ac:dyDescent="0.25">
      <c r="A410" s="3">
        <v>10404</v>
      </c>
      <c r="B410" s="9" t="s">
        <v>413</v>
      </c>
      <c r="C410" s="4" t="s">
        <v>10</v>
      </c>
      <c r="D410" s="4">
        <v>11994.079563754722</v>
      </c>
    </row>
    <row r="411" spans="1:4" x14ac:dyDescent="0.25">
      <c r="A411" s="3">
        <v>10405</v>
      </c>
      <c r="B411" s="9" t="s">
        <v>414</v>
      </c>
      <c r="C411" s="4" t="s">
        <v>10</v>
      </c>
      <c r="D411" s="4">
        <v>11994.079563754722</v>
      </c>
    </row>
    <row r="412" spans="1:4" x14ac:dyDescent="0.25">
      <c r="A412" s="3">
        <v>10406</v>
      </c>
      <c r="B412" s="9" t="s">
        <v>415</v>
      </c>
      <c r="C412" s="4" t="s">
        <v>10</v>
      </c>
      <c r="D412" s="4">
        <v>11994.079563754722</v>
      </c>
    </row>
    <row r="413" spans="1:4" x14ac:dyDescent="0.25">
      <c r="A413" s="3">
        <v>10407</v>
      </c>
      <c r="B413" s="9" t="s">
        <v>416</v>
      </c>
      <c r="C413" s="4" t="s">
        <v>10</v>
      </c>
      <c r="D413" s="4">
        <v>11994.079563754722</v>
      </c>
    </row>
    <row r="414" spans="1:4" x14ac:dyDescent="0.25">
      <c r="A414" s="3">
        <v>10408</v>
      </c>
      <c r="B414" s="9" t="s">
        <v>417</v>
      </c>
      <c r="C414" s="4" t="s">
        <v>10</v>
      </c>
      <c r="D414" s="4">
        <v>11994.079563754722</v>
      </c>
    </row>
    <row r="415" spans="1:4" x14ac:dyDescent="0.25">
      <c r="A415" s="3">
        <v>10409</v>
      </c>
      <c r="B415" s="9" t="s">
        <v>418</v>
      </c>
      <c r="C415" s="4" t="s">
        <v>10</v>
      </c>
      <c r="D415" s="4">
        <v>11994.079563754722</v>
      </c>
    </row>
    <row r="416" spans="1:4" x14ac:dyDescent="0.25">
      <c r="A416" s="3">
        <v>10410</v>
      </c>
      <c r="B416" s="9" t="s">
        <v>419</v>
      </c>
      <c r="C416" s="4" t="s">
        <v>10</v>
      </c>
      <c r="D416" s="4">
        <v>11994.079563754722</v>
      </c>
    </row>
    <row r="417" spans="1:4" x14ac:dyDescent="0.25">
      <c r="A417" s="3">
        <v>10411</v>
      </c>
      <c r="B417" s="9" t="s">
        <v>420</v>
      </c>
      <c r="C417" s="4" t="s">
        <v>10</v>
      </c>
      <c r="D417" s="4">
        <v>11994.079563754722</v>
      </c>
    </row>
    <row r="418" spans="1:4" x14ac:dyDescent="0.25">
      <c r="A418" s="3">
        <v>10412</v>
      </c>
      <c r="B418" s="9" t="s">
        <v>421</v>
      </c>
      <c r="C418" s="4" t="s">
        <v>10</v>
      </c>
      <c r="D418" s="4">
        <v>11994.079563754722</v>
      </c>
    </row>
    <row r="419" spans="1:4" x14ac:dyDescent="0.25">
      <c r="A419" s="3">
        <v>10413</v>
      </c>
      <c r="B419" s="9" t="s">
        <v>422</v>
      </c>
      <c r="C419" s="4" t="s">
        <v>10</v>
      </c>
      <c r="D419" s="4">
        <v>11994.079563754722</v>
      </c>
    </row>
    <row r="420" spans="1:4" x14ac:dyDescent="0.25">
      <c r="A420" s="3">
        <v>10414</v>
      </c>
      <c r="B420" s="9" t="s">
        <v>423</v>
      </c>
      <c r="C420" s="4" t="s">
        <v>10</v>
      </c>
      <c r="D420" s="4">
        <v>11994.079563754722</v>
      </c>
    </row>
    <row r="421" spans="1:4" x14ac:dyDescent="0.25">
      <c r="A421" s="3">
        <v>10415</v>
      </c>
      <c r="B421" s="9" t="s">
        <v>424</v>
      </c>
      <c r="C421" s="4" t="s">
        <v>10</v>
      </c>
      <c r="D421" s="4">
        <v>11994.079563754722</v>
      </c>
    </row>
    <row r="422" spans="1:4" x14ac:dyDescent="0.25">
      <c r="A422" s="3">
        <v>10416</v>
      </c>
      <c r="B422" s="9" t="s">
        <v>425</v>
      </c>
      <c r="C422" s="4" t="s">
        <v>10</v>
      </c>
      <c r="D422" s="4">
        <v>11994.079563754722</v>
      </c>
    </row>
    <row r="423" spans="1:4" x14ac:dyDescent="0.25">
      <c r="A423" s="3">
        <v>10417</v>
      </c>
      <c r="B423" s="9" t="s">
        <v>426</v>
      </c>
      <c r="C423" s="4" t="s">
        <v>10</v>
      </c>
      <c r="D423" s="4">
        <v>11994.079563754722</v>
      </c>
    </row>
    <row r="424" spans="1:4" x14ac:dyDescent="0.25">
      <c r="A424" s="3">
        <v>10418</v>
      </c>
      <c r="B424" s="9" t="s">
        <v>427</v>
      </c>
      <c r="C424" s="4" t="s">
        <v>10</v>
      </c>
      <c r="D424" s="4">
        <v>11994.079563754722</v>
      </c>
    </row>
    <row r="425" spans="1:4" x14ac:dyDescent="0.25">
      <c r="A425" s="3">
        <v>10419</v>
      </c>
      <c r="B425" s="9" t="s">
        <v>428</v>
      </c>
      <c r="C425" s="4" t="s">
        <v>10</v>
      </c>
      <c r="D425" s="4">
        <v>11994.079563754722</v>
      </c>
    </row>
    <row r="426" spans="1:4" x14ac:dyDescent="0.25">
      <c r="A426" s="3">
        <v>10420</v>
      </c>
      <c r="B426" s="9" t="s">
        <v>429</v>
      </c>
      <c r="C426" s="4" t="s">
        <v>10</v>
      </c>
      <c r="D426" s="4">
        <v>11994.079563754722</v>
      </c>
    </row>
    <row r="427" spans="1:4" x14ac:dyDescent="0.25">
      <c r="A427" s="3">
        <v>10421</v>
      </c>
      <c r="B427" s="9" t="s">
        <v>430</v>
      </c>
      <c r="C427" s="4" t="s">
        <v>10</v>
      </c>
      <c r="D427" s="4">
        <v>11994.079563754722</v>
      </c>
    </row>
    <row r="428" spans="1:4" x14ac:dyDescent="0.25">
      <c r="A428" s="3">
        <v>10422</v>
      </c>
      <c r="B428" s="9" t="s">
        <v>431</v>
      </c>
      <c r="C428" s="4" t="s">
        <v>10</v>
      </c>
      <c r="D428" s="4">
        <v>11994.079563754722</v>
      </c>
    </row>
    <row r="429" spans="1:4" x14ac:dyDescent="0.25">
      <c r="A429" s="3">
        <v>10423</v>
      </c>
      <c r="B429" s="9" t="s">
        <v>432</v>
      </c>
      <c r="C429" s="4" t="s">
        <v>10</v>
      </c>
      <c r="D429" s="4">
        <v>11994.079563754722</v>
      </c>
    </row>
    <row r="430" spans="1:4" x14ac:dyDescent="0.25">
      <c r="A430" s="3">
        <v>10424</v>
      </c>
      <c r="B430" s="9" t="s">
        <v>433</v>
      </c>
      <c r="C430" s="4" t="s">
        <v>10</v>
      </c>
      <c r="D430" s="4">
        <v>11994.079563754722</v>
      </c>
    </row>
    <row r="431" spans="1:4" x14ac:dyDescent="0.25">
      <c r="A431" s="3">
        <v>10425</v>
      </c>
      <c r="B431" s="9" t="s">
        <v>434</v>
      </c>
      <c r="C431" s="4" t="s">
        <v>10</v>
      </c>
      <c r="D431" s="4">
        <v>11994.079563754722</v>
      </c>
    </row>
    <row r="432" spans="1:4" x14ac:dyDescent="0.25">
      <c r="A432" s="3">
        <v>10426</v>
      </c>
      <c r="B432" s="9" t="s">
        <v>435</v>
      </c>
      <c r="C432" s="4" t="s">
        <v>10</v>
      </c>
      <c r="D432" s="4">
        <v>11994.079563754722</v>
      </c>
    </row>
    <row r="433" spans="1:4" x14ac:dyDescent="0.25">
      <c r="A433" s="3">
        <v>10427</v>
      </c>
      <c r="B433" s="9" t="s">
        <v>436</v>
      </c>
      <c r="C433" s="4" t="s">
        <v>10</v>
      </c>
      <c r="D433" s="4">
        <v>11994.079563754722</v>
      </c>
    </row>
    <row r="434" spans="1:4" x14ac:dyDescent="0.25">
      <c r="A434" s="3">
        <v>10428</v>
      </c>
      <c r="B434" s="9" t="s">
        <v>437</v>
      </c>
      <c r="C434" s="4" t="s">
        <v>10</v>
      </c>
      <c r="D434" s="4">
        <v>11994.079563754722</v>
      </c>
    </row>
    <row r="435" spans="1:4" x14ac:dyDescent="0.25">
      <c r="A435" s="3">
        <v>10429</v>
      </c>
      <c r="B435" s="9" t="s">
        <v>438</v>
      </c>
      <c r="C435" s="4" t="s">
        <v>10</v>
      </c>
      <c r="D435" s="4">
        <v>11994.079563754722</v>
      </c>
    </row>
    <row r="436" spans="1:4" x14ac:dyDescent="0.25">
      <c r="A436" s="3">
        <v>10430</v>
      </c>
      <c r="B436" s="9" t="s">
        <v>439</v>
      </c>
      <c r="C436" s="4" t="s">
        <v>10</v>
      </c>
      <c r="D436" s="4">
        <v>11994.079563754722</v>
      </c>
    </row>
    <row r="437" spans="1:4" x14ac:dyDescent="0.25">
      <c r="A437" s="3">
        <v>10431</v>
      </c>
      <c r="B437" s="9" t="s">
        <v>440</v>
      </c>
      <c r="C437" s="4" t="s">
        <v>10</v>
      </c>
      <c r="D437" s="4">
        <v>11994.079563754722</v>
      </c>
    </row>
    <row r="438" spans="1:4" x14ac:dyDescent="0.25">
      <c r="A438" s="3">
        <v>10432</v>
      </c>
      <c r="B438" s="9" t="s">
        <v>441</v>
      </c>
      <c r="C438" s="4" t="s">
        <v>10</v>
      </c>
      <c r="D438" s="4">
        <v>11994.079563754722</v>
      </c>
    </row>
    <row r="439" spans="1:4" x14ac:dyDescent="0.25">
      <c r="A439" s="3">
        <v>10433</v>
      </c>
      <c r="B439" s="9" t="s">
        <v>442</v>
      </c>
      <c r="C439" s="4" t="s">
        <v>10</v>
      </c>
      <c r="D439" s="4">
        <v>11994.079563754722</v>
      </c>
    </row>
    <row r="440" spans="1:4" x14ac:dyDescent="0.25">
      <c r="A440" s="3">
        <v>10434</v>
      </c>
      <c r="B440" s="9" t="s">
        <v>443</v>
      </c>
      <c r="C440" s="4" t="s">
        <v>10</v>
      </c>
      <c r="D440" s="4">
        <v>11994.079563754722</v>
      </c>
    </row>
    <row r="441" spans="1:4" x14ac:dyDescent="0.25">
      <c r="A441" s="3">
        <v>10435</v>
      </c>
      <c r="B441" s="9" t="s">
        <v>444</v>
      </c>
      <c r="C441" s="4" t="s">
        <v>10</v>
      </c>
      <c r="D441" s="4">
        <v>11994.079563754722</v>
      </c>
    </row>
    <row r="442" spans="1:4" x14ac:dyDescent="0.25">
      <c r="A442" s="3">
        <v>10436</v>
      </c>
      <c r="B442" s="9" t="s">
        <v>445</v>
      </c>
      <c r="C442" s="4" t="s">
        <v>10</v>
      </c>
      <c r="D442" s="4">
        <v>11994.079563754722</v>
      </c>
    </row>
    <row r="443" spans="1:4" x14ac:dyDescent="0.25">
      <c r="A443" s="3">
        <v>10437</v>
      </c>
      <c r="B443" s="9" t="s">
        <v>446</v>
      </c>
      <c r="C443" s="4" t="s">
        <v>10</v>
      </c>
      <c r="D443" s="4">
        <v>11994.079563754722</v>
      </c>
    </row>
    <row r="444" spans="1:4" x14ac:dyDescent="0.25">
      <c r="A444" s="3">
        <v>10438</v>
      </c>
      <c r="B444" s="9" t="s">
        <v>447</v>
      </c>
      <c r="C444" s="4" t="s">
        <v>10</v>
      </c>
      <c r="D444" s="4">
        <v>11994.079563754722</v>
      </c>
    </row>
    <row r="445" spans="1:4" x14ac:dyDescent="0.25">
      <c r="A445" s="3">
        <v>10439</v>
      </c>
      <c r="B445" s="9" t="s">
        <v>448</v>
      </c>
      <c r="C445" s="4" t="s">
        <v>10</v>
      </c>
      <c r="D445" s="4">
        <v>11994.079563754722</v>
      </c>
    </row>
    <row r="446" spans="1:4" x14ac:dyDescent="0.25">
      <c r="A446" s="3">
        <v>10440</v>
      </c>
      <c r="B446" s="9" t="s">
        <v>449</v>
      </c>
      <c r="C446" s="4" t="s">
        <v>10</v>
      </c>
      <c r="D446" s="4">
        <v>11994.079563754722</v>
      </c>
    </row>
    <row r="447" spans="1:4" x14ac:dyDescent="0.25">
      <c r="A447" s="3">
        <v>10441</v>
      </c>
      <c r="B447" s="9" t="s">
        <v>450</v>
      </c>
      <c r="C447" s="4" t="s">
        <v>10</v>
      </c>
      <c r="D447" s="4">
        <v>11994.079563754722</v>
      </c>
    </row>
    <row r="448" spans="1:4" x14ac:dyDescent="0.25">
      <c r="A448" s="3">
        <v>10442</v>
      </c>
      <c r="B448" s="9" t="s">
        <v>451</v>
      </c>
      <c r="C448" s="4" t="s">
        <v>10</v>
      </c>
      <c r="D448" s="4">
        <v>11994.079563754722</v>
      </c>
    </row>
    <row r="449" spans="1:4" x14ac:dyDescent="0.25">
      <c r="A449" s="3">
        <v>10443</v>
      </c>
      <c r="B449" s="9" t="s">
        <v>452</v>
      </c>
      <c r="C449" s="4" t="s">
        <v>10</v>
      </c>
      <c r="D449" s="4">
        <v>11994.079563754722</v>
      </c>
    </row>
    <row r="450" spans="1:4" x14ac:dyDescent="0.25">
      <c r="A450" s="3">
        <v>10444</v>
      </c>
      <c r="B450" s="9" t="s">
        <v>453</v>
      </c>
      <c r="C450" s="4" t="s">
        <v>10</v>
      </c>
      <c r="D450" s="4">
        <v>11994.079563754722</v>
      </c>
    </row>
    <row r="451" spans="1:4" x14ac:dyDescent="0.25">
      <c r="A451" s="3">
        <v>10445</v>
      </c>
      <c r="B451" s="9" t="s">
        <v>454</v>
      </c>
      <c r="C451" s="4" t="s">
        <v>10</v>
      </c>
      <c r="D451" s="4">
        <v>11994.079563754722</v>
      </c>
    </row>
    <row r="452" spans="1:4" x14ac:dyDescent="0.25">
      <c r="A452" s="3">
        <v>10446</v>
      </c>
      <c r="B452" s="9" t="s">
        <v>455</v>
      </c>
      <c r="C452" s="4" t="s">
        <v>10</v>
      </c>
      <c r="D452" s="4">
        <v>11994.079563754722</v>
      </c>
    </row>
    <row r="453" spans="1:4" x14ac:dyDescent="0.25">
      <c r="A453" s="3">
        <v>10447</v>
      </c>
      <c r="B453" s="9" t="s">
        <v>456</v>
      </c>
      <c r="C453" s="4" t="s">
        <v>10</v>
      </c>
      <c r="D453" s="4">
        <v>11994.079563754722</v>
      </c>
    </row>
    <row r="454" spans="1:4" x14ac:dyDescent="0.25">
      <c r="A454" s="3">
        <v>10448</v>
      </c>
      <c r="B454" s="9" t="s">
        <v>457</v>
      </c>
      <c r="C454" s="4" t="s">
        <v>10</v>
      </c>
      <c r="D454" s="4">
        <v>11994.079563754722</v>
      </c>
    </row>
    <row r="455" spans="1:4" x14ac:dyDescent="0.25">
      <c r="A455" s="3">
        <v>10449</v>
      </c>
      <c r="B455" s="9" t="s">
        <v>458</v>
      </c>
      <c r="C455" s="4" t="s">
        <v>10</v>
      </c>
      <c r="D455" s="4">
        <v>11994.079563754722</v>
      </c>
    </row>
    <row r="456" spans="1:4" x14ac:dyDescent="0.25">
      <c r="A456" s="3">
        <v>10450</v>
      </c>
      <c r="B456" s="9" t="s">
        <v>459</v>
      </c>
      <c r="C456" s="4" t="s">
        <v>10</v>
      </c>
      <c r="D456" s="4">
        <v>11994.079563754722</v>
      </c>
    </row>
    <row r="457" spans="1:4" x14ac:dyDescent="0.25">
      <c r="A457" s="3">
        <v>10451</v>
      </c>
      <c r="B457" s="9" t="s">
        <v>460</v>
      </c>
      <c r="C457" s="4" t="s">
        <v>10</v>
      </c>
      <c r="D457" s="4">
        <v>11994.079563754722</v>
      </c>
    </row>
    <row r="458" spans="1:4" x14ac:dyDescent="0.25">
      <c r="A458" s="3">
        <v>10452</v>
      </c>
      <c r="B458" s="9" t="s">
        <v>461</v>
      </c>
      <c r="C458" s="4" t="s">
        <v>10</v>
      </c>
      <c r="D458" s="4">
        <v>11994.079563754722</v>
      </c>
    </row>
    <row r="459" spans="1:4" x14ac:dyDescent="0.25">
      <c r="A459" s="3">
        <v>10453</v>
      </c>
      <c r="B459" s="9" t="s">
        <v>462</v>
      </c>
      <c r="C459" s="4" t="s">
        <v>10</v>
      </c>
      <c r="D459" s="4">
        <v>11994.079563754722</v>
      </c>
    </row>
    <row r="460" spans="1:4" x14ac:dyDescent="0.25">
      <c r="A460" s="3">
        <v>10454</v>
      </c>
      <c r="B460" s="9" t="s">
        <v>463</v>
      </c>
      <c r="C460" s="4" t="s">
        <v>10</v>
      </c>
      <c r="D460" s="4">
        <v>11994.079563754722</v>
      </c>
    </row>
    <row r="461" spans="1:4" x14ac:dyDescent="0.25">
      <c r="A461" s="3">
        <v>10455</v>
      </c>
      <c r="B461" s="9" t="s">
        <v>464</v>
      </c>
      <c r="C461" s="4" t="s">
        <v>10</v>
      </c>
      <c r="D461" s="4">
        <v>11994.079563754722</v>
      </c>
    </row>
    <row r="462" spans="1:4" x14ac:dyDescent="0.25">
      <c r="A462" s="3">
        <v>10456</v>
      </c>
      <c r="B462" s="9" t="s">
        <v>465</v>
      </c>
      <c r="C462" s="4" t="s">
        <v>10</v>
      </c>
      <c r="D462" s="4">
        <v>11994.079563754722</v>
      </c>
    </row>
    <row r="463" spans="1:4" x14ac:dyDescent="0.25">
      <c r="A463" s="3">
        <v>10457</v>
      </c>
      <c r="B463" s="9" t="s">
        <v>466</v>
      </c>
      <c r="C463" s="4" t="s">
        <v>10</v>
      </c>
      <c r="D463" s="4">
        <v>11994.079563754722</v>
      </c>
    </row>
    <row r="464" spans="1:4" x14ac:dyDescent="0.25">
      <c r="A464" s="3">
        <v>10458</v>
      </c>
      <c r="B464" s="9" t="s">
        <v>467</v>
      </c>
      <c r="C464" s="4" t="s">
        <v>10</v>
      </c>
      <c r="D464" s="4">
        <v>11994.079563754722</v>
      </c>
    </row>
    <row r="465" spans="1:4" x14ac:dyDescent="0.25">
      <c r="A465" s="3">
        <v>10459</v>
      </c>
      <c r="B465" s="9" t="s">
        <v>468</v>
      </c>
      <c r="C465" s="4" t="s">
        <v>10</v>
      </c>
      <c r="D465" s="4">
        <v>11994.079563754722</v>
      </c>
    </row>
    <row r="466" spans="1:4" x14ac:dyDescent="0.25">
      <c r="A466" s="3">
        <v>10460</v>
      </c>
      <c r="B466" s="9" t="s">
        <v>469</v>
      </c>
      <c r="C466" s="4" t="s">
        <v>10</v>
      </c>
      <c r="D466" s="4">
        <v>11994.079563754722</v>
      </c>
    </row>
    <row r="467" spans="1:4" x14ac:dyDescent="0.25">
      <c r="A467" s="3">
        <v>10461</v>
      </c>
      <c r="B467" s="9" t="s">
        <v>470</v>
      </c>
      <c r="C467" s="4" t="s">
        <v>10</v>
      </c>
      <c r="D467" s="4">
        <v>11994.079563754722</v>
      </c>
    </row>
    <row r="468" spans="1:4" x14ac:dyDescent="0.25">
      <c r="A468" s="3">
        <v>10462</v>
      </c>
      <c r="B468" s="9" t="s">
        <v>471</v>
      </c>
      <c r="C468" s="4" t="s">
        <v>10</v>
      </c>
      <c r="D468" s="4">
        <v>11994.079563754722</v>
      </c>
    </row>
    <row r="469" spans="1:4" x14ac:dyDescent="0.25">
      <c r="A469" s="3">
        <v>10463</v>
      </c>
      <c r="B469" s="9" t="s">
        <v>472</v>
      </c>
      <c r="C469" s="4" t="s">
        <v>10</v>
      </c>
      <c r="D469" s="4">
        <v>11994.079563754722</v>
      </c>
    </row>
    <row r="470" spans="1:4" x14ac:dyDescent="0.25">
      <c r="A470" s="3">
        <v>10464</v>
      </c>
      <c r="B470" s="9" t="s">
        <v>473</v>
      </c>
      <c r="C470" s="4" t="s">
        <v>10</v>
      </c>
      <c r="D470" s="4">
        <v>11994.079563754722</v>
      </c>
    </row>
    <row r="471" spans="1:4" x14ac:dyDescent="0.25">
      <c r="A471" s="3">
        <v>10465</v>
      </c>
      <c r="B471" s="9" t="s">
        <v>474</v>
      </c>
      <c r="C471" s="4" t="s">
        <v>10</v>
      </c>
      <c r="D471" s="4">
        <v>11994.079563754722</v>
      </c>
    </row>
    <row r="472" spans="1:4" x14ac:dyDescent="0.25">
      <c r="A472" s="3">
        <v>10466</v>
      </c>
      <c r="B472" s="9" t="s">
        <v>475</v>
      </c>
      <c r="C472" s="4" t="s">
        <v>10</v>
      </c>
      <c r="D472" s="4">
        <v>11994.079563754722</v>
      </c>
    </row>
    <row r="473" spans="1:4" x14ac:dyDescent="0.25">
      <c r="A473" s="3">
        <v>10467</v>
      </c>
      <c r="B473" s="9" t="s">
        <v>476</v>
      </c>
      <c r="C473" s="4" t="s">
        <v>10</v>
      </c>
      <c r="D473" s="4">
        <v>11994.079563754722</v>
      </c>
    </row>
    <row r="474" spans="1:4" x14ac:dyDescent="0.25">
      <c r="A474" s="3">
        <v>10468</v>
      </c>
      <c r="B474" s="9" t="s">
        <v>477</v>
      </c>
      <c r="C474" s="4" t="s">
        <v>10</v>
      </c>
      <c r="D474" s="4">
        <v>11994.079563754722</v>
      </c>
    </row>
    <row r="475" spans="1:4" x14ac:dyDescent="0.25">
      <c r="A475" s="3">
        <v>10469</v>
      </c>
      <c r="B475" s="9" t="s">
        <v>478</v>
      </c>
      <c r="C475" s="4" t="s">
        <v>10</v>
      </c>
      <c r="D475" s="4">
        <v>11994.079563754722</v>
      </c>
    </row>
    <row r="476" spans="1:4" x14ac:dyDescent="0.25">
      <c r="A476" s="3">
        <v>10470</v>
      </c>
      <c r="B476" s="9" t="s">
        <v>479</v>
      </c>
      <c r="C476" s="4" t="s">
        <v>10</v>
      </c>
      <c r="D476" s="4">
        <v>11994.079563754722</v>
      </c>
    </row>
    <row r="477" spans="1:4" x14ac:dyDescent="0.25">
      <c r="A477" s="3">
        <v>10471</v>
      </c>
      <c r="B477" s="9" t="s">
        <v>480</v>
      </c>
      <c r="C477" s="4" t="s">
        <v>10</v>
      </c>
      <c r="D477" s="4">
        <v>11994.079563754722</v>
      </c>
    </row>
    <row r="478" spans="1:4" x14ac:dyDescent="0.25">
      <c r="A478" s="3">
        <v>10472</v>
      </c>
      <c r="B478" s="9" t="s">
        <v>481</v>
      </c>
      <c r="C478" s="4" t="s">
        <v>10</v>
      </c>
      <c r="D478" s="4">
        <v>11994.079563754722</v>
      </c>
    </row>
    <row r="479" spans="1:4" x14ac:dyDescent="0.25">
      <c r="A479" s="3">
        <v>10473</v>
      </c>
      <c r="B479" s="9" t="s">
        <v>482</v>
      </c>
      <c r="C479" s="4" t="s">
        <v>10</v>
      </c>
      <c r="D479" s="4">
        <v>11994.079563754722</v>
      </c>
    </row>
    <row r="480" spans="1:4" x14ac:dyDescent="0.25">
      <c r="A480" s="3">
        <v>10474</v>
      </c>
      <c r="B480" s="9" t="s">
        <v>483</v>
      </c>
      <c r="C480" s="4" t="s">
        <v>10</v>
      </c>
      <c r="D480" s="4">
        <v>11994.079563754722</v>
      </c>
    </row>
    <row r="481" spans="1:4" x14ac:dyDescent="0.25">
      <c r="A481" s="3">
        <v>10475</v>
      </c>
      <c r="B481" s="9" t="s">
        <v>484</v>
      </c>
      <c r="C481" s="4" t="s">
        <v>10</v>
      </c>
      <c r="D481" s="4">
        <v>11994.079563754722</v>
      </c>
    </row>
    <row r="482" spans="1:4" x14ac:dyDescent="0.25">
      <c r="A482" s="3">
        <v>10476</v>
      </c>
      <c r="B482" s="9" t="s">
        <v>485</v>
      </c>
      <c r="C482" s="4" t="s">
        <v>10</v>
      </c>
      <c r="D482" s="4">
        <v>11994.079563754722</v>
      </c>
    </row>
    <row r="483" spans="1:4" x14ac:dyDescent="0.25">
      <c r="A483" s="3">
        <v>10477</v>
      </c>
      <c r="B483" s="9" t="s">
        <v>486</v>
      </c>
      <c r="C483" s="4" t="s">
        <v>10</v>
      </c>
      <c r="D483" s="4">
        <v>11994.079563754722</v>
      </c>
    </row>
    <row r="484" spans="1:4" x14ac:dyDescent="0.25">
      <c r="A484" s="3">
        <v>10478</v>
      </c>
      <c r="B484" s="9" t="s">
        <v>487</v>
      </c>
      <c r="C484" s="4" t="s">
        <v>10</v>
      </c>
      <c r="D484" s="4">
        <v>11994.079563754722</v>
      </c>
    </row>
    <row r="485" spans="1:4" x14ac:dyDescent="0.25">
      <c r="A485" s="3">
        <v>10479</v>
      </c>
      <c r="B485" s="9" t="s">
        <v>488</v>
      </c>
      <c r="C485" s="4" t="s">
        <v>10</v>
      </c>
      <c r="D485" s="4">
        <v>11994.079563754722</v>
      </c>
    </row>
    <row r="486" spans="1:4" x14ac:dyDescent="0.25">
      <c r="A486" s="3">
        <v>10480</v>
      </c>
      <c r="B486" s="9" t="s">
        <v>489</v>
      </c>
      <c r="C486" s="4" t="s">
        <v>10</v>
      </c>
      <c r="D486" s="4">
        <v>11994.079563754722</v>
      </c>
    </row>
    <row r="487" spans="1:4" x14ac:dyDescent="0.25">
      <c r="A487" s="3">
        <v>10481</v>
      </c>
      <c r="B487" s="9" t="s">
        <v>490</v>
      </c>
      <c r="C487" s="4" t="s">
        <v>10</v>
      </c>
      <c r="D487" s="4">
        <v>11994.079563754722</v>
      </c>
    </row>
    <row r="488" spans="1:4" x14ac:dyDescent="0.25">
      <c r="A488" s="3">
        <v>10482</v>
      </c>
      <c r="B488" s="9" t="s">
        <v>491</v>
      </c>
      <c r="C488" s="4" t="s">
        <v>10</v>
      </c>
      <c r="D488" s="4">
        <v>11994.079563754722</v>
      </c>
    </row>
    <row r="489" spans="1:4" x14ac:dyDescent="0.25">
      <c r="A489" s="3">
        <v>10483</v>
      </c>
      <c r="B489" s="9" t="s">
        <v>492</v>
      </c>
      <c r="C489" s="4" t="s">
        <v>10</v>
      </c>
      <c r="D489" s="4">
        <v>11994.079563754722</v>
      </c>
    </row>
    <row r="490" spans="1:4" x14ac:dyDescent="0.25">
      <c r="A490" s="3">
        <v>10484</v>
      </c>
      <c r="B490" s="9" t="s">
        <v>493</v>
      </c>
      <c r="C490" s="4" t="s">
        <v>10</v>
      </c>
      <c r="D490" s="4">
        <v>11994.079563754722</v>
      </c>
    </row>
    <row r="491" spans="1:4" x14ac:dyDescent="0.25">
      <c r="A491" s="3">
        <v>10485</v>
      </c>
      <c r="B491" s="9" t="s">
        <v>494</v>
      </c>
      <c r="C491" s="4" t="s">
        <v>10</v>
      </c>
      <c r="D491" s="4">
        <v>11994.079563754722</v>
      </c>
    </row>
    <row r="492" spans="1:4" x14ac:dyDescent="0.25">
      <c r="A492" s="3">
        <v>10486</v>
      </c>
      <c r="B492" s="9" t="s">
        <v>495</v>
      </c>
      <c r="C492" s="4" t="s">
        <v>10</v>
      </c>
      <c r="D492" s="4">
        <v>11994.079563754722</v>
      </c>
    </row>
    <row r="493" spans="1:4" x14ac:dyDescent="0.25">
      <c r="A493" s="3">
        <v>10487</v>
      </c>
      <c r="B493" s="9" t="s">
        <v>496</v>
      </c>
      <c r="C493" s="4" t="s">
        <v>10</v>
      </c>
      <c r="D493" s="4">
        <v>11994.079563754722</v>
      </c>
    </row>
    <row r="494" spans="1:4" x14ac:dyDescent="0.25">
      <c r="A494" s="3">
        <v>10488</v>
      </c>
      <c r="B494" s="9" t="s">
        <v>497</v>
      </c>
      <c r="C494" s="4" t="s">
        <v>10</v>
      </c>
      <c r="D494" s="4">
        <v>11994.079563754722</v>
      </c>
    </row>
    <row r="495" spans="1:4" x14ac:dyDescent="0.25">
      <c r="A495" s="3">
        <v>10489</v>
      </c>
      <c r="B495" s="9" t="s">
        <v>498</v>
      </c>
      <c r="C495" s="4" t="s">
        <v>10</v>
      </c>
      <c r="D495" s="4">
        <v>11994.079563754722</v>
      </c>
    </row>
    <row r="496" spans="1:4" x14ac:dyDescent="0.25">
      <c r="A496" s="3">
        <v>10490</v>
      </c>
      <c r="B496" s="9" t="s">
        <v>499</v>
      </c>
      <c r="C496" s="4" t="s">
        <v>10</v>
      </c>
      <c r="D496" s="4">
        <v>11994.079563754722</v>
      </c>
    </row>
    <row r="497" spans="1:4" x14ac:dyDescent="0.25">
      <c r="A497" s="3">
        <v>10491</v>
      </c>
      <c r="B497" s="9" t="s">
        <v>500</v>
      </c>
      <c r="C497" s="4" t="s">
        <v>10</v>
      </c>
      <c r="D497" s="4">
        <v>11994.079563754722</v>
      </c>
    </row>
    <row r="498" spans="1:4" x14ac:dyDescent="0.25">
      <c r="A498" s="3">
        <v>10492</v>
      </c>
      <c r="B498" s="9" t="s">
        <v>501</v>
      </c>
      <c r="C498" s="4" t="s">
        <v>10</v>
      </c>
      <c r="D498" s="4">
        <v>11994.079563754722</v>
      </c>
    </row>
    <row r="499" spans="1:4" x14ac:dyDescent="0.25">
      <c r="A499" s="3">
        <v>10493</v>
      </c>
      <c r="B499" s="9" t="s">
        <v>502</v>
      </c>
      <c r="C499" s="4" t="s">
        <v>10</v>
      </c>
      <c r="D499" s="4">
        <v>11994.079563754722</v>
      </c>
    </row>
    <row r="500" spans="1:4" x14ac:dyDescent="0.25">
      <c r="A500" s="3">
        <v>10494</v>
      </c>
      <c r="B500" s="9" t="s">
        <v>503</v>
      </c>
      <c r="C500" s="4" t="s">
        <v>10</v>
      </c>
      <c r="D500" s="4">
        <v>11994.079563754722</v>
      </c>
    </row>
    <row r="501" spans="1:4" x14ac:dyDescent="0.25">
      <c r="A501" s="3">
        <v>10495</v>
      </c>
      <c r="B501" s="9" t="s">
        <v>504</v>
      </c>
      <c r="C501" s="4" t="s">
        <v>10</v>
      </c>
      <c r="D501" s="4">
        <v>11994.079563754722</v>
      </c>
    </row>
    <row r="502" spans="1:4" x14ac:dyDescent="0.25">
      <c r="A502" s="3">
        <v>10496</v>
      </c>
      <c r="B502" s="9" t="s">
        <v>505</v>
      </c>
      <c r="C502" s="4" t="s">
        <v>10</v>
      </c>
      <c r="D502" s="4">
        <v>11994.079563754722</v>
      </c>
    </row>
    <row r="503" spans="1:4" x14ac:dyDescent="0.25">
      <c r="A503" s="3">
        <v>10497</v>
      </c>
      <c r="B503" s="9" t="s">
        <v>506</v>
      </c>
      <c r="C503" s="4" t="s">
        <v>10</v>
      </c>
      <c r="D503" s="4">
        <v>11994.079563754722</v>
      </c>
    </row>
    <row r="504" spans="1:4" x14ac:dyDescent="0.25">
      <c r="A504" s="3">
        <v>10498</v>
      </c>
      <c r="B504" s="9" t="s">
        <v>507</v>
      </c>
      <c r="C504" s="4" t="s">
        <v>10</v>
      </c>
      <c r="D504" s="4">
        <v>11994.079563754722</v>
      </c>
    </row>
    <row r="505" spans="1:4" x14ac:dyDescent="0.25">
      <c r="A505" s="3">
        <v>10499</v>
      </c>
      <c r="B505" s="9" t="s">
        <v>508</v>
      </c>
      <c r="C505" s="4" t="s">
        <v>10</v>
      </c>
      <c r="D505" s="4">
        <v>11994.079563754722</v>
      </c>
    </row>
    <row r="506" spans="1:4" x14ac:dyDescent="0.25">
      <c r="A506" s="3">
        <v>10500</v>
      </c>
      <c r="B506" s="9" t="s">
        <v>509</v>
      </c>
      <c r="C506" s="4" t="s">
        <v>10</v>
      </c>
      <c r="D506" s="4">
        <v>11994.079563754722</v>
      </c>
    </row>
    <row r="507" spans="1:4" x14ac:dyDescent="0.25">
      <c r="A507" s="3">
        <v>10501</v>
      </c>
      <c r="B507" s="9" t="s">
        <v>510</v>
      </c>
      <c r="C507" s="4" t="s">
        <v>10</v>
      </c>
      <c r="D507" s="4">
        <v>11994.079563754722</v>
      </c>
    </row>
    <row r="508" spans="1:4" x14ac:dyDescent="0.25">
      <c r="A508" s="3">
        <v>10502</v>
      </c>
      <c r="B508" s="9" t="s">
        <v>511</v>
      </c>
      <c r="C508" s="4" t="s">
        <v>10</v>
      </c>
      <c r="D508" s="4">
        <v>11994.079563754722</v>
      </c>
    </row>
    <row r="509" spans="1:4" x14ac:dyDescent="0.25">
      <c r="A509" s="3">
        <v>10503</v>
      </c>
      <c r="B509" s="9" t="s">
        <v>512</v>
      </c>
      <c r="C509" s="4" t="s">
        <v>10</v>
      </c>
      <c r="D509" s="4">
        <v>11994.079563754722</v>
      </c>
    </row>
    <row r="510" spans="1:4" x14ac:dyDescent="0.25">
      <c r="A510" s="3">
        <v>10504</v>
      </c>
      <c r="B510" s="9" t="s">
        <v>513</v>
      </c>
      <c r="C510" s="4" t="s">
        <v>10</v>
      </c>
      <c r="D510" s="4">
        <v>11994.079563754722</v>
      </c>
    </row>
    <row r="511" spans="1:4" x14ac:dyDescent="0.25">
      <c r="A511" s="3">
        <v>10505</v>
      </c>
      <c r="B511" s="9" t="s">
        <v>514</v>
      </c>
      <c r="C511" s="4" t="s">
        <v>10</v>
      </c>
      <c r="D511" s="4">
        <v>11994.079563754722</v>
      </c>
    </row>
    <row r="512" spans="1:4" x14ac:dyDescent="0.25">
      <c r="A512" s="3">
        <v>10506</v>
      </c>
      <c r="B512" s="9" t="s">
        <v>515</v>
      </c>
      <c r="C512" s="4" t="s">
        <v>10</v>
      </c>
      <c r="D512" s="4">
        <v>11994.079563754722</v>
      </c>
    </row>
    <row r="513" spans="1:4" x14ac:dyDescent="0.25">
      <c r="A513" s="3">
        <v>10507</v>
      </c>
      <c r="B513" s="9" t="s">
        <v>516</v>
      </c>
      <c r="C513" s="4" t="s">
        <v>10</v>
      </c>
      <c r="D513" s="4">
        <v>11994.079563754722</v>
      </c>
    </row>
    <row r="514" spans="1:4" x14ac:dyDescent="0.25">
      <c r="A514" s="3">
        <v>10508</v>
      </c>
      <c r="B514" s="9" t="s">
        <v>517</v>
      </c>
      <c r="C514" s="4" t="s">
        <v>10</v>
      </c>
      <c r="D514" s="4">
        <v>11994.079563754722</v>
      </c>
    </row>
    <row r="515" spans="1:4" x14ac:dyDescent="0.25">
      <c r="A515" s="3">
        <v>10509</v>
      </c>
      <c r="B515" s="9" t="s">
        <v>518</v>
      </c>
      <c r="C515" s="4" t="s">
        <v>10</v>
      </c>
      <c r="D515" s="4">
        <v>11994.079563754722</v>
      </c>
    </row>
    <row r="516" spans="1:4" x14ac:dyDescent="0.25">
      <c r="A516" s="3">
        <v>10510</v>
      </c>
      <c r="B516" s="9" t="s">
        <v>519</v>
      </c>
      <c r="C516" s="4" t="s">
        <v>10</v>
      </c>
      <c r="D516" s="4">
        <v>21589.343214758501</v>
      </c>
    </row>
    <row r="517" spans="1:4" x14ac:dyDescent="0.25">
      <c r="A517" s="3">
        <v>10511</v>
      </c>
      <c r="B517" s="9" t="s">
        <v>520</v>
      </c>
      <c r="C517" s="4" t="s">
        <v>10</v>
      </c>
      <c r="D517" s="4">
        <v>38860.817786565305</v>
      </c>
    </row>
    <row r="518" spans="1:4" x14ac:dyDescent="0.25">
      <c r="A518" s="3">
        <v>10512</v>
      </c>
      <c r="B518" s="9" t="s">
        <v>521</v>
      </c>
      <c r="C518" s="4" t="s">
        <v>10</v>
      </c>
      <c r="D518" s="4">
        <v>69949.472015817548</v>
      </c>
    </row>
    <row r="519" spans="1:4" x14ac:dyDescent="0.25">
      <c r="A519" s="3">
        <v>10513</v>
      </c>
      <c r="B519" s="9" t="s">
        <v>522</v>
      </c>
      <c r="C519" s="4" t="s">
        <v>10</v>
      </c>
      <c r="D519" s="4">
        <v>125909.04962847159</v>
      </c>
    </row>
    <row r="520" spans="1:4" x14ac:dyDescent="0.25">
      <c r="A520" s="3">
        <v>10514</v>
      </c>
      <c r="B520" s="9" t="s">
        <v>523</v>
      </c>
      <c r="C520" s="4" t="s">
        <v>10</v>
      </c>
      <c r="D520" s="4">
        <v>226636.28933124887</v>
      </c>
    </row>
    <row r="521" spans="1:4" x14ac:dyDescent="0.25">
      <c r="A521" s="3">
        <v>10515</v>
      </c>
      <c r="B521" s="9" t="s">
        <v>524</v>
      </c>
      <c r="C521" s="4" t="s">
        <v>10</v>
      </c>
      <c r="D521" s="4">
        <v>407945.32079624798</v>
      </c>
    </row>
    <row r="522" spans="1:4" x14ac:dyDescent="0.25">
      <c r="A522" s="3">
        <v>10516</v>
      </c>
      <c r="B522" s="9" t="s">
        <v>525</v>
      </c>
      <c r="C522" s="4" t="s">
        <v>10</v>
      </c>
      <c r="D522" s="4">
        <v>734301.57743324642</v>
      </c>
    </row>
    <row r="523" spans="1:4" x14ac:dyDescent="0.25">
      <c r="A523" s="3">
        <v>10517</v>
      </c>
      <c r="B523" s="9" t="s">
        <v>526</v>
      </c>
      <c r="C523" s="4" t="s">
        <v>10</v>
      </c>
      <c r="D523" s="4">
        <v>1321742.8393798436</v>
      </c>
    </row>
    <row r="524" spans="1:4" x14ac:dyDescent="0.25">
      <c r="A524" s="3">
        <v>10518</v>
      </c>
      <c r="B524" s="9" t="s">
        <v>527</v>
      </c>
      <c r="C524" s="4" t="s">
        <v>10</v>
      </c>
      <c r="D524" s="4">
        <v>2379137.1108837184</v>
      </c>
    </row>
    <row r="525" spans="1:4" x14ac:dyDescent="0.25">
      <c r="A525" s="3">
        <v>10519</v>
      </c>
      <c r="B525" s="9" t="s">
        <v>528</v>
      </c>
      <c r="C525" s="4" t="s">
        <v>10</v>
      </c>
      <c r="D525" s="4">
        <v>4282446.7995906929</v>
      </c>
    </row>
    <row r="526" spans="1:4" x14ac:dyDescent="0.25">
      <c r="A526" s="3">
        <v>10520</v>
      </c>
      <c r="B526" s="9" t="s">
        <v>529</v>
      </c>
      <c r="C526" s="4" t="s">
        <v>10</v>
      </c>
      <c r="D526" s="4">
        <v>7708404.2392632477</v>
      </c>
    </row>
    <row r="527" spans="1:4" x14ac:dyDescent="0.25">
      <c r="A527" s="3">
        <v>10521</v>
      </c>
      <c r="B527" s="9" t="s">
        <v>530</v>
      </c>
      <c r="C527" s="4" t="s">
        <v>10</v>
      </c>
      <c r="D527" s="4">
        <v>13875127.630673846</v>
      </c>
    </row>
    <row r="528" spans="1:4" x14ac:dyDescent="0.25">
      <c r="A528" s="3">
        <v>10522</v>
      </c>
      <c r="B528" s="9" t="s">
        <v>531</v>
      </c>
      <c r="C528" s="4" t="s">
        <v>10</v>
      </c>
      <c r="D528" s="4">
        <v>24975229.735212922</v>
      </c>
    </row>
    <row r="529" spans="1:4" x14ac:dyDescent="0.25">
      <c r="A529" s="3">
        <v>10523</v>
      </c>
      <c r="B529" s="9" t="s">
        <v>532</v>
      </c>
      <c r="C529" s="4" t="s">
        <v>10</v>
      </c>
      <c r="D529" s="4">
        <v>44955413.52338326</v>
      </c>
    </row>
    <row r="530" spans="1:4" x14ac:dyDescent="0.25">
      <c r="A530" s="3">
        <v>10524</v>
      </c>
      <c r="B530" s="9" t="s">
        <v>533</v>
      </c>
      <c r="C530" s="4" t="s">
        <v>11</v>
      </c>
      <c r="D530" s="4">
        <v>80919744.342089877</v>
      </c>
    </row>
    <row r="531" spans="1:4" x14ac:dyDescent="0.25">
      <c r="A531" s="3">
        <v>10525</v>
      </c>
      <c r="B531" s="9" t="s">
        <v>534</v>
      </c>
      <c r="C531" s="4" t="s">
        <v>11</v>
      </c>
      <c r="D531" s="4">
        <v>145655539.81576177</v>
      </c>
    </row>
    <row r="532" spans="1:4" x14ac:dyDescent="0.25">
      <c r="A532" s="3">
        <v>10526</v>
      </c>
      <c r="B532" s="9" t="s">
        <v>535</v>
      </c>
      <c r="C532" s="4" t="s">
        <v>11</v>
      </c>
      <c r="D532" s="4">
        <v>0</v>
      </c>
    </row>
    <row r="533" spans="1:4" x14ac:dyDescent="0.25">
      <c r="A533" s="3">
        <v>10527</v>
      </c>
      <c r="B533" s="9" t="s">
        <v>536</v>
      </c>
      <c r="C533" s="4" t="s">
        <v>11</v>
      </c>
      <c r="D533" s="4">
        <v>0</v>
      </c>
    </row>
    <row r="534" spans="1:4" x14ac:dyDescent="0.25">
      <c r="A534" s="3">
        <v>10528</v>
      </c>
      <c r="B534" s="9" t="s">
        <v>537</v>
      </c>
      <c r="C534" s="4" t="s">
        <v>11</v>
      </c>
      <c r="D534" s="4">
        <v>0</v>
      </c>
    </row>
    <row r="535" spans="1:4" x14ac:dyDescent="0.25">
      <c r="A535" s="3">
        <v>10529</v>
      </c>
      <c r="B535" s="9" t="s">
        <v>538</v>
      </c>
      <c r="C535" s="4" t="s">
        <v>11</v>
      </c>
      <c r="D535" s="4">
        <v>0</v>
      </c>
    </row>
    <row r="536" spans="1:4" x14ac:dyDescent="0.25">
      <c r="A536" s="3">
        <v>10530</v>
      </c>
      <c r="B536" s="9" t="s">
        <v>539</v>
      </c>
      <c r="C536" s="4" t="s">
        <v>11</v>
      </c>
      <c r="D536" s="4">
        <v>0</v>
      </c>
    </row>
    <row r="537" spans="1:4" x14ac:dyDescent="0.25">
      <c r="A537" s="3">
        <v>10531</v>
      </c>
      <c r="B537" s="9" t="s">
        <v>540</v>
      </c>
      <c r="C537" s="4" t="s">
        <v>11</v>
      </c>
      <c r="D537" s="4">
        <v>0</v>
      </c>
    </row>
    <row r="538" spans="1:4" x14ac:dyDescent="0.25">
      <c r="A538" s="3">
        <v>10532</v>
      </c>
      <c r="B538" s="9" t="s">
        <v>541</v>
      </c>
      <c r="C538" s="4" t="s">
        <v>11</v>
      </c>
      <c r="D538" s="4">
        <v>0</v>
      </c>
    </row>
    <row r="539" spans="1:4" x14ac:dyDescent="0.25">
      <c r="A539" s="3">
        <v>10533</v>
      </c>
      <c r="B539" s="9" t="s">
        <v>542</v>
      </c>
      <c r="C539" s="4" t="s">
        <v>11</v>
      </c>
      <c r="D539" s="4">
        <v>0</v>
      </c>
    </row>
    <row r="540" spans="1:4" x14ac:dyDescent="0.25">
      <c r="A540" s="3">
        <v>10534</v>
      </c>
      <c r="B540" s="9" t="s">
        <v>543</v>
      </c>
      <c r="C540" s="4" t="s">
        <v>11</v>
      </c>
      <c r="D540" s="4">
        <v>0</v>
      </c>
    </row>
    <row r="541" spans="1:4" x14ac:dyDescent="0.25">
      <c r="A541" s="3">
        <v>10535</v>
      </c>
      <c r="B541" s="9" t="s">
        <v>544</v>
      </c>
      <c r="C541" s="4" t="s">
        <v>11</v>
      </c>
      <c r="D541" s="4">
        <v>0</v>
      </c>
    </row>
    <row r="542" spans="1:4" x14ac:dyDescent="0.25">
      <c r="A542" s="3">
        <v>10536</v>
      </c>
      <c r="B542" s="9" t="s">
        <v>545</v>
      </c>
      <c r="C542" s="4" t="s">
        <v>11</v>
      </c>
      <c r="D542" s="4">
        <v>0</v>
      </c>
    </row>
    <row r="543" spans="1:4" x14ac:dyDescent="0.25">
      <c r="A543" s="3">
        <v>10537</v>
      </c>
      <c r="B543" s="9" t="s">
        <v>546</v>
      </c>
      <c r="C543" s="4" t="s">
        <v>11</v>
      </c>
      <c r="D543" s="4">
        <v>0</v>
      </c>
    </row>
    <row r="544" spans="1:4" x14ac:dyDescent="0.25">
      <c r="A544" s="3">
        <v>10538</v>
      </c>
      <c r="B544" s="9" t="s">
        <v>547</v>
      </c>
      <c r="C544" s="4" t="s">
        <v>11</v>
      </c>
      <c r="D544" s="4">
        <v>0</v>
      </c>
    </row>
    <row r="545" spans="1:4" x14ac:dyDescent="0.25">
      <c r="A545" s="3">
        <v>10539</v>
      </c>
      <c r="B545" s="9" t="s">
        <v>548</v>
      </c>
      <c r="C545" s="4" t="s">
        <v>11</v>
      </c>
      <c r="D545" s="4">
        <v>0</v>
      </c>
    </row>
    <row r="546" spans="1:4" x14ac:dyDescent="0.25">
      <c r="A546" s="3">
        <v>10540</v>
      </c>
      <c r="B546" s="9" t="s">
        <v>549</v>
      </c>
      <c r="C546" s="4" t="s">
        <v>11</v>
      </c>
      <c r="D546" s="4">
        <v>0</v>
      </c>
    </row>
    <row r="547" spans="1:4" x14ac:dyDescent="0.25">
      <c r="A547" s="3">
        <v>10541</v>
      </c>
      <c r="B547" s="9" t="s">
        <v>550</v>
      </c>
      <c r="C547" s="4" t="s">
        <v>11</v>
      </c>
      <c r="D547" s="4">
        <v>0</v>
      </c>
    </row>
    <row r="548" spans="1:4" x14ac:dyDescent="0.25">
      <c r="A548" s="3">
        <v>10542</v>
      </c>
      <c r="B548" s="9" t="s">
        <v>551</v>
      </c>
      <c r="C548" s="4" t="s">
        <v>11</v>
      </c>
      <c r="D548" s="4">
        <v>0</v>
      </c>
    </row>
    <row r="549" spans="1:4" x14ac:dyDescent="0.25">
      <c r="A549" s="3">
        <v>10543</v>
      </c>
      <c r="B549" s="9" t="s">
        <v>552</v>
      </c>
      <c r="C549" s="4" t="s">
        <v>11</v>
      </c>
      <c r="D549" s="4">
        <v>0</v>
      </c>
    </row>
    <row r="550" spans="1:4" x14ac:dyDescent="0.25">
      <c r="A550" s="3">
        <v>10544</v>
      </c>
      <c r="B550" s="9" t="s">
        <v>553</v>
      </c>
      <c r="C550" s="4" t="s">
        <v>11</v>
      </c>
      <c r="D550" s="4">
        <v>0</v>
      </c>
    </row>
    <row r="551" spans="1:4" x14ac:dyDescent="0.25">
      <c r="A551" s="3">
        <v>10545</v>
      </c>
      <c r="B551" s="9" t="s">
        <v>554</v>
      </c>
      <c r="C551" s="4" t="s">
        <v>11</v>
      </c>
      <c r="D551" s="4">
        <v>0</v>
      </c>
    </row>
    <row r="552" spans="1:4" x14ac:dyDescent="0.25">
      <c r="A552" s="3">
        <v>10546</v>
      </c>
      <c r="B552" s="9" t="s">
        <v>555</v>
      </c>
      <c r="C552" s="4" t="s">
        <v>11</v>
      </c>
      <c r="D552" s="4">
        <v>0</v>
      </c>
    </row>
    <row r="553" spans="1:4" x14ac:dyDescent="0.25">
      <c r="A553" s="3">
        <v>10547</v>
      </c>
      <c r="B553" s="9" t="s">
        <v>556</v>
      </c>
      <c r="C553" s="4" t="s">
        <v>11</v>
      </c>
      <c r="D553" s="4">
        <v>0</v>
      </c>
    </row>
    <row r="554" spans="1:4" x14ac:dyDescent="0.25">
      <c r="A554" s="3">
        <v>10548</v>
      </c>
      <c r="B554" s="9" t="s">
        <v>557</v>
      </c>
      <c r="C554" s="4" t="s">
        <v>11</v>
      </c>
      <c r="D554" s="4">
        <v>0</v>
      </c>
    </row>
    <row r="555" spans="1:4" x14ac:dyDescent="0.25">
      <c r="A555" s="3">
        <v>10549</v>
      </c>
      <c r="B555" s="9" t="s">
        <v>558</v>
      </c>
      <c r="C555" s="4" t="s">
        <v>11</v>
      </c>
      <c r="D555" s="4">
        <v>0</v>
      </c>
    </row>
    <row r="556" spans="1:4" x14ac:dyDescent="0.25">
      <c r="A556" s="3">
        <v>10550</v>
      </c>
      <c r="B556" s="9" t="s">
        <v>559</v>
      </c>
      <c r="C556" s="4" t="s">
        <v>11</v>
      </c>
      <c r="D556" s="4">
        <v>0</v>
      </c>
    </row>
    <row r="557" spans="1:4" x14ac:dyDescent="0.25">
      <c r="A557" s="3">
        <v>10551</v>
      </c>
      <c r="B557" s="9" t="s">
        <v>560</v>
      </c>
      <c r="C557" s="4" t="s">
        <v>11</v>
      </c>
      <c r="D557" s="4">
        <v>0</v>
      </c>
    </row>
    <row r="558" spans="1:4" x14ac:dyDescent="0.25">
      <c r="A558" s="3">
        <v>10552</v>
      </c>
      <c r="B558" s="9" t="s">
        <v>561</v>
      </c>
      <c r="C558" s="4" t="s">
        <v>11</v>
      </c>
      <c r="D558" s="4">
        <v>0</v>
      </c>
    </row>
    <row r="559" spans="1:4" x14ac:dyDescent="0.25">
      <c r="A559" s="3">
        <v>10553</v>
      </c>
      <c r="B559" s="9" t="s">
        <v>562</v>
      </c>
      <c r="C559" s="4" t="s">
        <v>11</v>
      </c>
      <c r="D559" s="4">
        <v>0</v>
      </c>
    </row>
    <row r="560" spans="1:4" x14ac:dyDescent="0.25">
      <c r="A560" s="3">
        <v>10554</v>
      </c>
      <c r="B560" s="9" t="s">
        <v>563</v>
      </c>
      <c r="C560" s="4" t="s">
        <v>11</v>
      </c>
      <c r="D560" s="4">
        <v>0</v>
      </c>
    </row>
    <row r="561" spans="1:4" x14ac:dyDescent="0.25">
      <c r="A561" s="3">
        <v>10555</v>
      </c>
      <c r="B561" s="9" t="s">
        <v>564</v>
      </c>
      <c r="C561" s="4" t="s">
        <v>11</v>
      </c>
      <c r="D561" s="4">
        <v>0</v>
      </c>
    </row>
    <row r="562" spans="1:4" x14ac:dyDescent="0.25">
      <c r="A562" s="3">
        <v>10556</v>
      </c>
      <c r="B562" s="9" t="s">
        <v>565</v>
      </c>
      <c r="C562" s="4" t="s">
        <v>11</v>
      </c>
      <c r="D562" s="4">
        <v>0</v>
      </c>
    </row>
    <row r="563" spans="1:4" x14ac:dyDescent="0.25">
      <c r="A563" s="3">
        <v>10557</v>
      </c>
      <c r="B563" s="9" t="s">
        <v>566</v>
      </c>
      <c r="C563" s="4" t="s">
        <v>11</v>
      </c>
      <c r="D563" s="4">
        <v>0</v>
      </c>
    </row>
  </sheetData>
  <phoneticPr fontId="2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74FA4-8DD3-4804-ACD4-DAC3D1147816}">
  <sheetPr codeName="Planilha3"/>
  <dimension ref="A1:E7"/>
  <sheetViews>
    <sheetView zoomScaleNormal="10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1" width="39.42578125" bestFit="1" customWidth="1"/>
    <col min="2" max="2" width="18.7109375" bestFit="1" customWidth="1"/>
    <col min="3" max="3" width="15.85546875" bestFit="1" customWidth="1"/>
    <col min="4" max="4" width="18.85546875" bestFit="1" customWidth="1"/>
    <col min="5" max="5" width="19.140625" bestFit="1" customWidth="1"/>
    <col min="6" max="14" width="9.140625" customWidth="1"/>
    <col min="15" max="16384" width="9.140625" hidden="1"/>
  </cols>
  <sheetData>
    <row r="1" spans="1:5" s="1" customFormat="1" x14ac:dyDescent="0.25"/>
    <row r="2" spans="1:5" s="1" customFormat="1" x14ac:dyDescent="0.25"/>
    <row r="3" spans="1:5" s="1" customFormat="1" x14ac:dyDescent="0.25"/>
    <row r="4" spans="1:5" s="1" customFormat="1" x14ac:dyDescent="0.25"/>
    <row r="5" spans="1:5" s="2" customFormat="1" x14ac:dyDescent="0.25"/>
    <row r="6" spans="1:5" x14ac:dyDescent="0.25">
      <c r="A6" s="5" t="s">
        <v>8</v>
      </c>
      <c r="B6" s="5" t="s">
        <v>4</v>
      </c>
      <c r="C6" s="5" t="s">
        <v>5</v>
      </c>
      <c r="D6" s="5" t="s">
        <v>6</v>
      </c>
      <c r="E6" s="5" t="s">
        <v>7</v>
      </c>
    </row>
    <row r="7" spans="1:5" x14ac:dyDescent="0.25">
      <c r="A7" s="5" t="s">
        <v>567</v>
      </c>
      <c r="B7" s="5" t="s">
        <v>568</v>
      </c>
      <c r="C7" s="6">
        <v>44757.600046296298</v>
      </c>
      <c r="D7" s="7">
        <v>557</v>
      </c>
      <c r="E7" s="5" t="s">
        <v>569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092C9-37D0-4FE8-BDF9-A27DA0143945}">
  <sheetPr codeName="Planilha4"/>
  <dimension ref="A1:I557"/>
  <sheetViews>
    <sheetView workbookViewId="0">
      <selection activeCell="K2" sqref="K2"/>
    </sheetView>
  </sheetViews>
  <sheetFormatPr defaultRowHeight="15" x14ac:dyDescent="0.25"/>
  <cols>
    <col min="1" max="1" width="24.42578125" bestFit="1" customWidth="1"/>
    <col min="2" max="2" width="18" bestFit="1" customWidth="1"/>
    <col min="3" max="3" width="18.85546875" bestFit="1" customWidth="1"/>
    <col min="4" max="4" width="10.85546875" bestFit="1" customWidth="1"/>
    <col min="6" max="6" width="10.7109375" bestFit="1" customWidth="1"/>
    <col min="7" max="7" width="18" style="10" bestFit="1" customWidth="1"/>
    <col min="8" max="8" width="22.5703125" bestFit="1" customWidth="1"/>
    <col min="9" max="9" width="10.7109375" bestFit="1" customWidth="1"/>
  </cols>
  <sheetData>
    <row r="1" spans="1:9" x14ac:dyDescent="0.25">
      <c r="A1" t="s">
        <v>1</v>
      </c>
      <c r="B1" s="10" t="s">
        <v>573</v>
      </c>
      <c r="C1" s="10" t="s">
        <v>574</v>
      </c>
      <c r="D1" t="s">
        <v>575</v>
      </c>
      <c r="E1" t="s">
        <v>576</v>
      </c>
      <c r="F1" t="s">
        <v>577</v>
      </c>
      <c r="G1" s="10" t="s">
        <v>579</v>
      </c>
      <c r="H1" t="s">
        <v>580</v>
      </c>
      <c r="I1" t="s">
        <v>578</v>
      </c>
    </row>
    <row r="2" spans="1:9" x14ac:dyDescent="0.25">
      <c r="A2" t="s">
        <v>9</v>
      </c>
      <c r="B2" s="10">
        <v>1234.8399999999999</v>
      </c>
      <c r="C2" s="10">
        <v>2296.8024</v>
      </c>
      <c r="D2">
        <f>IF(AND(ChartTable[[#This Row],[Valor Encerrado]]=0, ChartTable[[#This Row],[Valor Ativo]]=""), 1, 0)</f>
        <v>0</v>
      </c>
      <c r="E2">
        <f>IF(AND(ChartTable[[#This Row],[Valor Ativo]]&lt;&gt;"", ChartTable[[#This Row],[Valor Encerrado]]=""), 1, 0)</f>
        <v>0</v>
      </c>
      <c r="F2">
        <f>IF(AND(ChartTable[[#This Row],[Novo?]]=0, ChartTable[[#This Row],[Valor Ativo]]&lt;&gt;ChartTable[[#This Row],[Valor Encerrado]]), 1, 0)</f>
        <v>1</v>
      </c>
      <c r="G2" s="10">
        <f>IF(ChartTable[[#This Row],[Mudou?]]=1, ChartTable[[#This Row],[Valor Encerrado]]-ChartTable[[#This Row],[Valor Ativo]], "")</f>
        <v>1061.9624000000001</v>
      </c>
      <c r="H2" s="11" t="str">
        <f>IF(ChartTable[[#This Row],[Mudou?]]=1, IF(ChartTable[[#This Row],[Diferença]]&gt;0, "aumentou", "diminuiu"), "")</f>
        <v>aumentou</v>
      </c>
      <c r="I2" s="11" t="str" cm="1">
        <f t="array" ref="I2">_xlfn.IFS(ChartTable[[#This Row],[Exluido?]]=1,"Excluido",ChartTable[[#This Row],[Novo?]]=1, "Novo", ChartTable[[#This Row],[Mudou?]]=1, "Mudou")</f>
        <v>Mudou</v>
      </c>
    </row>
    <row r="3" spans="1:9" x14ac:dyDescent="0.25">
      <c r="A3" t="s">
        <v>12</v>
      </c>
      <c r="B3" s="10">
        <v>4272.0524640000003</v>
      </c>
      <c r="C3" s="10"/>
      <c r="D3" s="11">
        <f>IF(AND(ChartTable[[#This Row],[Valor Encerrado]]=0, ChartTable[[#This Row],[Valor Ativo]]=""), 1, 0)</f>
        <v>0</v>
      </c>
      <c r="E3" s="11">
        <f>IF(AND(ChartTable[[#This Row],[Valor Ativo]]&lt;&gt;"", ChartTable[[#This Row],[Valor Encerrado]]=""), 1, 0)</f>
        <v>1</v>
      </c>
      <c r="F3" s="11">
        <f>IF(AND(ChartTable[[#This Row],[Novo?]]=0, ChartTable[[#This Row],[Valor Ativo]]&lt;&gt;ChartTable[[#This Row],[Valor Encerrado]]), 1, 0)</f>
        <v>0</v>
      </c>
      <c r="G3" s="18" t="str">
        <f>IF(ChartTable[[#This Row],[Mudou?]]=1, ChartTable[[#This Row],[Valor Encerrado]]-ChartTable[[#This Row],[Valor Ativo]], "")</f>
        <v/>
      </c>
      <c r="H3" s="11" t="str">
        <f>IF(ChartTable[[#This Row],[Mudou?]]=1, IF(ChartTable[[#This Row],[Diferença]]&gt;0, "aumentou", "diminuiu"), "")</f>
        <v/>
      </c>
      <c r="I3" s="11" t="str" cm="1">
        <f t="array" ref="I3">_xlfn.IFS(ChartTable[[#This Row],[Exluido?]]=1,"Excluido",ChartTable[[#This Row],[Novo?]]=1, "Novo", ChartTable[[#This Row],[Mudou?]]=1, "Mudou")</f>
        <v>Novo</v>
      </c>
    </row>
    <row r="4" spans="1:9" x14ac:dyDescent="0.25">
      <c r="A4" t="s">
        <v>13</v>
      </c>
      <c r="B4" s="10">
        <v>7946.0175830400012</v>
      </c>
      <c r="C4" s="10"/>
      <c r="D4" s="11">
        <f>IF(AND(ChartTable[[#This Row],[Valor Encerrado]]=0, ChartTable[[#This Row],[Valor Ativo]]=""), 1, 0)</f>
        <v>0</v>
      </c>
      <c r="E4" s="11">
        <f>IF(AND(ChartTable[[#This Row],[Valor Ativo]]&lt;&gt;"", ChartTable[[#This Row],[Valor Encerrado]]=""), 1, 0)</f>
        <v>1</v>
      </c>
      <c r="F4" s="11">
        <f>IF(AND(ChartTable[[#This Row],[Novo?]]=0, ChartTable[[#This Row],[Valor Ativo]]&lt;&gt;ChartTable[[#This Row],[Valor Encerrado]]), 1, 0)</f>
        <v>0</v>
      </c>
      <c r="G4" s="18" t="str">
        <f>IF(ChartTable[[#This Row],[Mudou?]]=1, ChartTable[[#This Row],[Valor Encerrado]]-ChartTable[[#This Row],[Valor Ativo]], "")</f>
        <v/>
      </c>
      <c r="H4" s="11" t="str">
        <f>IF(ChartTable[[#This Row],[Mudou?]]=1, IF(ChartTable[[#This Row],[Diferença]]&gt;0, "aumentou", "diminuiu"), "")</f>
        <v/>
      </c>
      <c r="I4" s="11" t="str" cm="1">
        <f t="array" ref="I4">_xlfn.IFS(ChartTable[[#This Row],[Exluido?]]=1,"Excluido",ChartTable[[#This Row],[Novo?]]=1, "Novo", ChartTable[[#This Row],[Mudou?]]=1, "Mudou")</f>
        <v>Novo</v>
      </c>
    </row>
    <row r="5" spans="1:9" x14ac:dyDescent="0.25">
      <c r="A5" t="s">
        <v>14</v>
      </c>
      <c r="B5" s="10">
        <v>14779.592704454402</v>
      </c>
      <c r="C5" s="10"/>
      <c r="D5" s="11">
        <f>IF(AND(ChartTable[[#This Row],[Valor Encerrado]]=0, ChartTable[[#This Row],[Valor Ativo]]=""), 1, 0)</f>
        <v>0</v>
      </c>
      <c r="E5" s="11">
        <f>IF(AND(ChartTable[[#This Row],[Valor Ativo]]&lt;&gt;"", ChartTable[[#This Row],[Valor Encerrado]]=""), 1, 0)</f>
        <v>1</v>
      </c>
      <c r="F5" s="11">
        <f>IF(AND(ChartTable[[#This Row],[Novo?]]=0, ChartTable[[#This Row],[Valor Ativo]]&lt;&gt;ChartTable[[#This Row],[Valor Encerrado]]), 1, 0)</f>
        <v>0</v>
      </c>
      <c r="G5" s="18" t="str">
        <f>IF(ChartTable[[#This Row],[Mudou?]]=1, ChartTable[[#This Row],[Valor Encerrado]]-ChartTable[[#This Row],[Valor Ativo]], "")</f>
        <v/>
      </c>
      <c r="H5" s="11" t="str">
        <f>IF(ChartTable[[#This Row],[Mudou?]]=1, IF(ChartTable[[#This Row],[Diferença]]&gt;0, "aumentou", "diminuiu"), "")</f>
        <v/>
      </c>
      <c r="I5" s="11" t="str" cm="1">
        <f t="array" ref="I5">_xlfn.IFS(ChartTable[[#This Row],[Exluido?]]=1,"Excluido",ChartTable[[#This Row],[Novo?]]=1, "Novo", ChartTable[[#This Row],[Mudou?]]=1, "Mudou")</f>
        <v>Novo</v>
      </c>
    </row>
    <row r="6" spans="1:9" x14ac:dyDescent="0.25">
      <c r="A6" t="s">
        <v>15</v>
      </c>
      <c r="B6" s="10">
        <v>27490.04243028519</v>
      </c>
      <c r="C6" s="10"/>
      <c r="D6" s="11">
        <f>IF(AND(ChartTable[[#This Row],[Valor Encerrado]]=0, ChartTable[[#This Row],[Valor Ativo]]=""), 1, 0)</f>
        <v>0</v>
      </c>
      <c r="E6" s="11">
        <f>IF(AND(ChartTable[[#This Row],[Valor Ativo]]&lt;&gt;"", ChartTable[[#This Row],[Valor Encerrado]]=""), 1, 0)</f>
        <v>1</v>
      </c>
      <c r="F6" s="11">
        <f>IF(AND(ChartTable[[#This Row],[Novo?]]=0, ChartTable[[#This Row],[Valor Ativo]]&lt;&gt;ChartTable[[#This Row],[Valor Encerrado]]), 1, 0)</f>
        <v>0</v>
      </c>
      <c r="G6" s="18" t="str">
        <f>IF(ChartTable[[#This Row],[Mudou?]]=1, ChartTable[[#This Row],[Valor Encerrado]]-ChartTable[[#This Row],[Valor Ativo]], "")</f>
        <v/>
      </c>
      <c r="H6" s="11" t="str">
        <f>IF(ChartTable[[#This Row],[Mudou?]]=1, IF(ChartTable[[#This Row],[Diferença]]&gt;0, "aumentou", "diminuiu"), "")</f>
        <v/>
      </c>
      <c r="I6" s="11" t="str" cm="1">
        <f t="array" ref="I6">_xlfn.IFS(ChartTable[[#This Row],[Exluido?]]=1,"Excluido",ChartTable[[#This Row],[Novo?]]=1, "Novo", ChartTable[[#This Row],[Mudou?]]=1, "Mudou")</f>
        <v>Novo</v>
      </c>
    </row>
    <row r="7" spans="1:9" x14ac:dyDescent="0.25">
      <c r="A7" t="s">
        <v>16</v>
      </c>
      <c r="B7" s="10">
        <v>51131.478920330454</v>
      </c>
      <c r="C7" s="10"/>
      <c r="D7" s="11">
        <f>IF(AND(ChartTable[[#This Row],[Valor Encerrado]]=0, ChartTable[[#This Row],[Valor Ativo]]=""), 1, 0)</f>
        <v>0</v>
      </c>
      <c r="E7" s="11">
        <f>IF(AND(ChartTable[[#This Row],[Valor Ativo]]&lt;&gt;"", ChartTable[[#This Row],[Valor Encerrado]]=""), 1, 0)</f>
        <v>1</v>
      </c>
      <c r="F7" s="11">
        <f>IF(AND(ChartTable[[#This Row],[Novo?]]=0, ChartTable[[#This Row],[Valor Ativo]]&lt;&gt;ChartTable[[#This Row],[Valor Encerrado]]), 1, 0)</f>
        <v>0</v>
      </c>
      <c r="G7" s="18" t="str">
        <f>IF(ChartTable[[#This Row],[Mudou?]]=1, ChartTable[[#This Row],[Valor Encerrado]]-ChartTable[[#This Row],[Valor Ativo]], "")</f>
        <v/>
      </c>
      <c r="H7" s="11" t="str">
        <f>IF(ChartTable[[#This Row],[Mudou?]]=1, IF(ChartTable[[#This Row],[Diferença]]&gt;0, "aumentou", "diminuiu"), "")</f>
        <v/>
      </c>
      <c r="I7" s="11" t="str" cm="1">
        <f t="array" ref="I7">_xlfn.IFS(ChartTable[[#This Row],[Exluido?]]=1,"Excluido",ChartTable[[#This Row],[Novo?]]=1, "Novo", ChartTable[[#This Row],[Mudou?]]=1, "Mudou")</f>
        <v>Novo</v>
      </c>
    </row>
    <row r="8" spans="1:9" x14ac:dyDescent="0.25">
      <c r="A8" t="s">
        <v>17</v>
      </c>
      <c r="B8" s="10">
        <v>95104.550791814647</v>
      </c>
      <c r="C8" s="10"/>
      <c r="D8" s="11">
        <f>IF(AND(ChartTable[[#This Row],[Valor Encerrado]]=0, ChartTable[[#This Row],[Valor Ativo]]=""), 1, 0)</f>
        <v>0</v>
      </c>
      <c r="E8" s="11">
        <f>IF(AND(ChartTable[[#This Row],[Valor Ativo]]&lt;&gt;"", ChartTable[[#This Row],[Valor Encerrado]]=""), 1, 0)</f>
        <v>1</v>
      </c>
      <c r="F8" s="11">
        <f>IF(AND(ChartTable[[#This Row],[Novo?]]=0, ChartTable[[#This Row],[Valor Ativo]]&lt;&gt;ChartTable[[#This Row],[Valor Encerrado]]), 1, 0)</f>
        <v>0</v>
      </c>
      <c r="G8" s="18" t="str">
        <f>IF(ChartTable[[#This Row],[Mudou?]]=1, ChartTable[[#This Row],[Valor Encerrado]]-ChartTable[[#This Row],[Valor Ativo]], "")</f>
        <v/>
      </c>
      <c r="H8" s="11" t="str">
        <f>IF(ChartTable[[#This Row],[Mudou?]]=1, IF(ChartTable[[#This Row],[Diferença]]&gt;0, "aumentou", "diminuiu"), "")</f>
        <v/>
      </c>
      <c r="I8" s="11" t="str" cm="1">
        <f t="array" ref="I8">_xlfn.IFS(ChartTable[[#This Row],[Exluido?]]=1,"Excluido",ChartTable[[#This Row],[Novo?]]=1, "Novo", ChartTable[[#This Row],[Mudou?]]=1, "Mudou")</f>
        <v>Novo</v>
      </c>
    </row>
    <row r="9" spans="1:9" x14ac:dyDescent="0.25">
      <c r="A9" t="s">
        <v>18</v>
      </c>
      <c r="B9" s="10">
        <v>176894.46447277526</v>
      </c>
      <c r="C9" s="10"/>
      <c r="D9" s="11">
        <f>IF(AND(ChartTable[[#This Row],[Valor Encerrado]]=0, ChartTable[[#This Row],[Valor Ativo]]=""), 1, 0)</f>
        <v>0</v>
      </c>
      <c r="E9" s="11">
        <f>IF(AND(ChartTable[[#This Row],[Valor Ativo]]&lt;&gt;"", ChartTable[[#This Row],[Valor Encerrado]]=""), 1, 0)</f>
        <v>1</v>
      </c>
      <c r="F9" s="11">
        <f>IF(AND(ChartTable[[#This Row],[Novo?]]=0, ChartTable[[#This Row],[Valor Ativo]]&lt;&gt;ChartTable[[#This Row],[Valor Encerrado]]), 1, 0)</f>
        <v>0</v>
      </c>
      <c r="G9" s="18" t="str">
        <f>IF(ChartTable[[#This Row],[Mudou?]]=1, ChartTable[[#This Row],[Valor Encerrado]]-ChartTable[[#This Row],[Valor Ativo]], "")</f>
        <v/>
      </c>
      <c r="H9" s="11" t="str">
        <f>IF(ChartTable[[#This Row],[Mudou?]]=1, IF(ChartTable[[#This Row],[Diferença]]&gt;0, "aumentou", "diminuiu"), "")</f>
        <v/>
      </c>
      <c r="I9" s="11" t="str" cm="1">
        <f t="array" ref="I9">_xlfn.IFS(ChartTable[[#This Row],[Exluido?]]=1,"Excluido",ChartTable[[#This Row],[Novo?]]=1, "Novo", ChartTable[[#This Row],[Mudou?]]=1, "Mudou")</f>
        <v>Novo</v>
      </c>
    </row>
    <row r="10" spans="1:9" x14ac:dyDescent="0.25">
      <c r="A10" t="s">
        <v>19</v>
      </c>
      <c r="B10" s="10">
        <v>329023.70391936199</v>
      </c>
      <c r="C10" s="10"/>
      <c r="D10" s="11">
        <f>IF(AND(ChartTable[[#This Row],[Valor Encerrado]]=0, ChartTable[[#This Row],[Valor Ativo]]=""), 1, 0)</f>
        <v>0</v>
      </c>
      <c r="E10" s="11">
        <f>IF(AND(ChartTable[[#This Row],[Valor Ativo]]&lt;&gt;"", ChartTable[[#This Row],[Valor Encerrado]]=""), 1, 0)</f>
        <v>1</v>
      </c>
      <c r="F10" s="11">
        <f>IF(AND(ChartTable[[#This Row],[Novo?]]=0, ChartTable[[#This Row],[Valor Ativo]]&lt;&gt;ChartTable[[#This Row],[Valor Encerrado]]), 1, 0)</f>
        <v>0</v>
      </c>
      <c r="G10" s="18" t="str">
        <f>IF(ChartTable[[#This Row],[Mudou?]]=1, ChartTable[[#This Row],[Valor Encerrado]]-ChartTable[[#This Row],[Valor Ativo]], "")</f>
        <v/>
      </c>
      <c r="H10" s="11" t="str">
        <f>IF(ChartTable[[#This Row],[Mudou?]]=1, IF(ChartTable[[#This Row],[Diferença]]&gt;0, "aumentou", "diminuiu"), "")</f>
        <v/>
      </c>
      <c r="I10" s="11" t="str" cm="1">
        <f t="array" ref="I10">_xlfn.IFS(ChartTable[[#This Row],[Exluido?]]=1,"Excluido",ChartTable[[#This Row],[Novo?]]=1, "Novo", ChartTable[[#This Row],[Mudou?]]=1, "Mudou")</f>
        <v>Novo</v>
      </c>
    </row>
    <row r="11" spans="1:9" x14ac:dyDescent="0.25">
      <c r="A11" t="s">
        <v>20</v>
      </c>
      <c r="B11" s="10">
        <v>611984.0892900133</v>
      </c>
      <c r="C11" s="10"/>
      <c r="D11" s="11">
        <f>IF(AND(ChartTable[[#This Row],[Valor Encerrado]]=0, ChartTable[[#This Row],[Valor Ativo]]=""), 1, 0)</f>
        <v>0</v>
      </c>
      <c r="E11" s="11">
        <f>IF(AND(ChartTable[[#This Row],[Valor Ativo]]&lt;&gt;"", ChartTable[[#This Row],[Valor Encerrado]]=""), 1, 0)</f>
        <v>1</v>
      </c>
      <c r="F11" s="11">
        <f>IF(AND(ChartTable[[#This Row],[Novo?]]=0, ChartTable[[#This Row],[Valor Ativo]]&lt;&gt;ChartTable[[#This Row],[Valor Encerrado]]), 1, 0)</f>
        <v>0</v>
      </c>
      <c r="G11" s="18" t="str">
        <f>IF(ChartTable[[#This Row],[Mudou?]]=1, ChartTable[[#This Row],[Valor Encerrado]]-ChartTable[[#This Row],[Valor Ativo]], "")</f>
        <v/>
      </c>
      <c r="H11" s="11" t="str">
        <f>IF(ChartTable[[#This Row],[Mudou?]]=1, IF(ChartTable[[#This Row],[Diferença]]&gt;0, "aumentou", "diminuiu"), "")</f>
        <v/>
      </c>
      <c r="I11" s="11" t="str" cm="1">
        <f t="array" ref="I11">_xlfn.IFS(ChartTable[[#This Row],[Exluido?]]=1,"Excluido",ChartTable[[#This Row],[Novo?]]=1, "Novo", ChartTable[[#This Row],[Mudou?]]=1, "Mudou")</f>
        <v>Novo</v>
      </c>
    </row>
    <row r="12" spans="1:9" x14ac:dyDescent="0.25">
      <c r="A12" t="s">
        <v>21</v>
      </c>
      <c r="B12" s="10">
        <v>1138290.4060794248</v>
      </c>
      <c r="C12" s="10"/>
      <c r="D12" s="11">
        <f>IF(AND(ChartTable[[#This Row],[Valor Encerrado]]=0, ChartTable[[#This Row],[Valor Ativo]]=""), 1, 0)</f>
        <v>0</v>
      </c>
      <c r="E12" s="11">
        <f>IF(AND(ChartTable[[#This Row],[Valor Ativo]]&lt;&gt;"", ChartTable[[#This Row],[Valor Encerrado]]=""), 1, 0)</f>
        <v>1</v>
      </c>
      <c r="F12" s="11">
        <f>IF(AND(ChartTable[[#This Row],[Novo?]]=0, ChartTable[[#This Row],[Valor Ativo]]&lt;&gt;ChartTable[[#This Row],[Valor Encerrado]]), 1, 0)</f>
        <v>0</v>
      </c>
      <c r="G12" s="18" t="str">
        <f>IF(ChartTable[[#This Row],[Mudou?]]=1, ChartTable[[#This Row],[Valor Encerrado]]-ChartTable[[#This Row],[Valor Ativo]], "")</f>
        <v/>
      </c>
      <c r="H12" s="11" t="str">
        <f>IF(ChartTable[[#This Row],[Mudou?]]=1, IF(ChartTable[[#This Row],[Diferença]]&gt;0, "aumentou", "diminuiu"), "")</f>
        <v/>
      </c>
      <c r="I12" s="11" t="str" cm="1">
        <f t="array" ref="I12">_xlfn.IFS(ChartTable[[#This Row],[Exluido?]]=1,"Excluido",ChartTable[[#This Row],[Novo?]]=1, "Novo", ChartTable[[#This Row],[Mudou?]]=1, "Mudou")</f>
        <v>Novo</v>
      </c>
    </row>
    <row r="13" spans="1:9" x14ac:dyDescent="0.25">
      <c r="A13" t="s">
        <v>22</v>
      </c>
      <c r="B13" s="10">
        <v>2117220.1553077302</v>
      </c>
      <c r="C13" s="10"/>
      <c r="D13" s="11">
        <f>IF(AND(ChartTable[[#This Row],[Valor Encerrado]]=0, ChartTable[[#This Row],[Valor Ativo]]=""), 1, 0)</f>
        <v>0</v>
      </c>
      <c r="E13" s="11">
        <f>IF(AND(ChartTable[[#This Row],[Valor Ativo]]&lt;&gt;"", ChartTable[[#This Row],[Valor Encerrado]]=""), 1, 0)</f>
        <v>1</v>
      </c>
      <c r="F13" s="11">
        <f>IF(AND(ChartTable[[#This Row],[Novo?]]=0, ChartTable[[#This Row],[Valor Ativo]]&lt;&gt;ChartTable[[#This Row],[Valor Encerrado]]), 1, 0)</f>
        <v>0</v>
      </c>
      <c r="G13" s="18" t="str">
        <f>IF(ChartTable[[#This Row],[Mudou?]]=1, ChartTable[[#This Row],[Valor Encerrado]]-ChartTable[[#This Row],[Valor Ativo]], "")</f>
        <v/>
      </c>
      <c r="H13" s="11" t="str">
        <f>IF(ChartTable[[#This Row],[Mudou?]]=1, IF(ChartTable[[#This Row],[Diferença]]&gt;0, "aumentou", "diminuiu"), "")</f>
        <v/>
      </c>
      <c r="I13" s="11" t="str" cm="1">
        <f t="array" ref="I13">_xlfn.IFS(ChartTable[[#This Row],[Exluido?]]=1,"Excluido",ChartTable[[#This Row],[Novo?]]=1, "Novo", ChartTable[[#This Row],[Mudou?]]=1, "Mudou")</f>
        <v>Novo</v>
      </c>
    </row>
    <row r="14" spans="1:9" x14ac:dyDescent="0.25">
      <c r="A14" t="s">
        <v>23</v>
      </c>
      <c r="B14" s="10">
        <v>3938029.4888723786</v>
      </c>
      <c r="C14" s="10"/>
      <c r="D14" s="11">
        <f>IF(AND(ChartTable[[#This Row],[Valor Encerrado]]=0, ChartTable[[#This Row],[Valor Ativo]]=""), 1, 0)</f>
        <v>0</v>
      </c>
      <c r="E14" s="11">
        <f>IF(AND(ChartTable[[#This Row],[Valor Ativo]]&lt;&gt;"", ChartTable[[#This Row],[Valor Encerrado]]=""), 1, 0)</f>
        <v>1</v>
      </c>
      <c r="F14" s="11">
        <f>IF(AND(ChartTable[[#This Row],[Novo?]]=0, ChartTable[[#This Row],[Valor Ativo]]&lt;&gt;ChartTable[[#This Row],[Valor Encerrado]]), 1, 0)</f>
        <v>0</v>
      </c>
      <c r="G14" s="18" t="str">
        <f>IF(ChartTable[[#This Row],[Mudou?]]=1, ChartTable[[#This Row],[Valor Encerrado]]-ChartTable[[#This Row],[Valor Ativo]], "")</f>
        <v/>
      </c>
      <c r="H14" s="11" t="str">
        <f>IF(ChartTable[[#This Row],[Mudou?]]=1, IF(ChartTable[[#This Row],[Diferença]]&gt;0, "aumentou", "diminuiu"), "")</f>
        <v/>
      </c>
      <c r="I14" s="11" t="str" cm="1">
        <f t="array" ref="I14">_xlfn.IFS(ChartTable[[#This Row],[Exluido?]]=1,"Excluido",ChartTable[[#This Row],[Novo?]]=1, "Novo", ChartTable[[#This Row],[Mudou?]]=1, "Mudou")</f>
        <v>Novo</v>
      </c>
    </row>
    <row r="15" spans="1:9" x14ac:dyDescent="0.25">
      <c r="A15" t="s">
        <v>24</v>
      </c>
      <c r="B15" s="10">
        <v>7324734.8493026244</v>
      </c>
      <c r="C15" s="10"/>
      <c r="D15" s="11">
        <f>IF(AND(ChartTable[[#This Row],[Valor Encerrado]]=0, ChartTable[[#This Row],[Valor Ativo]]=""), 1, 0)</f>
        <v>0</v>
      </c>
      <c r="E15" s="11">
        <f>IF(AND(ChartTable[[#This Row],[Valor Ativo]]&lt;&gt;"", ChartTable[[#This Row],[Valor Encerrado]]=""), 1, 0)</f>
        <v>1</v>
      </c>
      <c r="F15" s="11">
        <f>IF(AND(ChartTable[[#This Row],[Novo?]]=0, ChartTable[[#This Row],[Valor Ativo]]&lt;&gt;ChartTable[[#This Row],[Valor Encerrado]]), 1, 0)</f>
        <v>0</v>
      </c>
      <c r="G15" s="18" t="str">
        <f>IF(ChartTable[[#This Row],[Mudou?]]=1, ChartTable[[#This Row],[Valor Encerrado]]-ChartTable[[#This Row],[Valor Ativo]], "")</f>
        <v/>
      </c>
      <c r="H15" s="11" t="str">
        <f>IF(ChartTable[[#This Row],[Mudou?]]=1, IF(ChartTable[[#This Row],[Diferença]]&gt;0, "aumentou", "diminuiu"), "")</f>
        <v/>
      </c>
      <c r="I15" s="11" t="str" cm="1">
        <f t="array" ref="I15">_xlfn.IFS(ChartTable[[#This Row],[Exluido?]]=1,"Excluido",ChartTable[[#This Row],[Novo?]]=1, "Novo", ChartTable[[#This Row],[Mudou?]]=1, "Mudou")</f>
        <v>Novo</v>
      </c>
    </row>
    <row r="16" spans="1:9" x14ac:dyDescent="0.25">
      <c r="A16" t="s">
        <v>25</v>
      </c>
      <c r="B16" s="10">
        <v>13624006.819702882</v>
      </c>
      <c r="C16" s="10"/>
      <c r="D16" s="11">
        <f>IF(AND(ChartTable[[#This Row],[Valor Encerrado]]=0, ChartTable[[#This Row],[Valor Ativo]]=""), 1, 0)</f>
        <v>0</v>
      </c>
      <c r="E16" s="11">
        <f>IF(AND(ChartTable[[#This Row],[Valor Ativo]]&lt;&gt;"", ChartTable[[#This Row],[Valor Encerrado]]=""), 1, 0)</f>
        <v>1</v>
      </c>
      <c r="F16" s="11">
        <f>IF(AND(ChartTable[[#This Row],[Novo?]]=0, ChartTable[[#This Row],[Valor Ativo]]&lt;&gt;ChartTable[[#This Row],[Valor Encerrado]]), 1, 0)</f>
        <v>0</v>
      </c>
      <c r="G16" s="18" t="str">
        <f>IF(ChartTable[[#This Row],[Mudou?]]=1, ChartTable[[#This Row],[Valor Encerrado]]-ChartTable[[#This Row],[Valor Ativo]], "")</f>
        <v/>
      </c>
      <c r="H16" s="11" t="str">
        <f>IF(ChartTable[[#This Row],[Mudou?]]=1, IF(ChartTable[[#This Row],[Diferença]]&gt;0, "aumentou", "diminuiu"), "")</f>
        <v/>
      </c>
      <c r="I16" s="11" t="str" cm="1">
        <f t="array" ref="I16">_xlfn.IFS(ChartTable[[#This Row],[Exluido?]]=1,"Excluido",ChartTable[[#This Row],[Novo?]]=1, "Novo", ChartTable[[#This Row],[Mudou?]]=1, "Mudou")</f>
        <v>Novo</v>
      </c>
    </row>
    <row r="17" spans="1:9" x14ac:dyDescent="0.25">
      <c r="A17" t="s">
        <v>26</v>
      </c>
      <c r="B17" s="10">
        <v>25340652.684647363</v>
      </c>
      <c r="C17" s="10"/>
      <c r="D17" s="11">
        <f>IF(AND(ChartTable[[#This Row],[Valor Encerrado]]=0, ChartTable[[#This Row],[Valor Ativo]]=""), 1, 0)</f>
        <v>0</v>
      </c>
      <c r="E17" s="11">
        <f>IF(AND(ChartTable[[#This Row],[Valor Ativo]]&lt;&gt;"", ChartTable[[#This Row],[Valor Encerrado]]=""), 1, 0)</f>
        <v>1</v>
      </c>
      <c r="F17" s="11">
        <f>IF(AND(ChartTable[[#This Row],[Novo?]]=0, ChartTable[[#This Row],[Valor Ativo]]&lt;&gt;ChartTable[[#This Row],[Valor Encerrado]]), 1, 0)</f>
        <v>0</v>
      </c>
      <c r="G17" s="18" t="str">
        <f>IF(ChartTable[[#This Row],[Mudou?]]=1, ChartTable[[#This Row],[Valor Encerrado]]-ChartTable[[#This Row],[Valor Ativo]], "")</f>
        <v/>
      </c>
      <c r="H17" s="11" t="str">
        <f>IF(ChartTable[[#This Row],[Mudou?]]=1, IF(ChartTable[[#This Row],[Diferença]]&gt;0, "aumentou", "diminuiu"), "")</f>
        <v/>
      </c>
      <c r="I17" s="11" t="str" cm="1">
        <f t="array" ref="I17">_xlfn.IFS(ChartTable[[#This Row],[Exluido?]]=1,"Excluido",ChartTable[[#This Row],[Novo?]]=1, "Novo", ChartTable[[#This Row],[Mudou?]]=1, "Mudou")</f>
        <v>Novo</v>
      </c>
    </row>
    <row r="18" spans="1:9" x14ac:dyDescent="0.25">
      <c r="A18" t="s">
        <v>27</v>
      </c>
      <c r="B18" s="10">
        <v>47133613.9934441</v>
      </c>
      <c r="C18" s="10"/>
      <c r="D18" s="11">
        <f>IF(AND(ChartTable[[#This Row],[Valor Encerrado]]=0, ChartTable[[#This Row],[Valor Ativo]]=""), 1, 0)</f>
        <v>0</v>
      </c>
      <c r="E18" s="11">
        <f>IF(AND(ChartTable[[#This Row],[Valor Ativo]]&lt;&gt;"", ChartTable[[#This Row],[Valor Encerrado]]=""), 1, 0)</f>
        <v>1</v>
      </c>
      <c r="F18" s="11">
        <f>IF(AND(ChartTable[[#This Row],[Novo?]]=0, ChartTable[[#This Row],[Valor Ativo]]&lt;&gt;ChartTable[[#This Row],[Valor Encerrado]]), 1, 0)</f>
        <v>0</v>
      </c>
      <c r="G18" s="18" t="str">
        <f>IF(ChartTable[[#This Row],[Mudou?]]=1, ChartTable[[#This Row],[Valor Encerrado]]-ChartTable[[#This Row],[Valor Ativo]], "")</f>
        <v/>
      </c>
      <c r="H18" s="11" t="str">
        <f>IF(ChartTable[[#This Row],[Mudou?]]=1, IF(ChartTable[[#This Row],[Diferença]]&gt;0, "aumentou", "diminuiu"), "")</f>
        <v/>
      </c>
      <c r="I18" s="11" t="str" cm="1">
        <f t="array" ref="I18">_xlfn.IFS(ChartTable[[#This Row],[Exluido?]]=1,"Excluido",ChartTable[[#This Row],[Novo?]]=1, "Novo", ChartTable[[#This Row],[Mudou?]]=1, "Mudou")</f>
        <v>Novo</v>
      </c>
    </row>
    <row r="19" spans="1:9" x14ac:dyDescent="0.25">
      <c r="A19" t="s">
        <v>28</v>
      </c>
      <c r="B19" s="10">
        <v>87668522.027806029</v>
      </c>
      <c r="C19" s="10"/>
      <c r="D19" s="11">
        <f>IF(AND(ChartTable[[#This Row],[Valor Encerrado]]=0, ChartTable[[#This Row],[Valor Ativo]]=""), 1, 0)</f>
        <v>0</v>
      </c>
      <c r="E19" s="11">
        <f>IF(AND(ChartTable[[#This Row],[Valor Ativo]]&lt;&gt;"", ChartTable[[#This Row],[Valor Encerrado]]=""), 1, 0)</f>
        <v>1</v>
      </c>
      <c r="F19" s="11">
        <f>IF(AND(ChartTable[[#This Row],[Novo?]]=0, ChartTable[[#This Row],[Valor Ativo]]&lt;&gt;ChartTable[[#This Row],[Valor Encerrado]]), 1, 0)</f>
        <v>0</v>
      </c>
      <c r="G19" s="18" t="str">
        <f>IF(ChartTable[[#This Row],[Mudou?]]=1, ChartTable[[#This Row],[Valor Encerrado]]-ChartTable[[#This Row],[Valor Ativo]], "")</f>
        <v/>
      </c>
      <c r="H19" s="11" t="str">
        <f>IF(ChartTable[[#This Row],[Mudou?]]=1, IF(ChartTable[[#This Row],[Diferença]]&gt;0, "aumentou", "diminuiu"), "")</f>
        <v/>
      </c>
      <c r="I19" s="11" t="str" cm="1">
        <f t="array" ref="I19">_xlfn.IFS(ChartTable[[#This Row],[Exluido?]]=1,"Excluido",ChartTable[[#This Row],[Novo?]]=1, "Novo", ChartTable[[#This Row],[Mudou?]]=1, "Mudou")</f>
        <v>Novo</v>
      </c>
    </row>
    <row r="20" spans="1:9" x14ac:dyDescent="0.25">
      <c r="A20" t="s">
        <v>29</v>
      </c>
      <c r="B20" s="10">
        <v>163063450.97171924</v>
      </c>
      <c r="C20" s="10"/>
      <c r="D20" s="11">
        <f>IF(AND(ChartTable[[#This Row],[Valor Encerrado]]=0, ChartTable[[#This Row],[Valor Ativo]]=""), 1, 0)</f>
        <v>0</v>
      </c>
      <c r="E20" s="11">
        <f>IF(AND(ChartTable[[#This Row],[Valor Ativo]]&lt;&gt;"", ChartTable[[#This Row],[Valor Encerrado]]=""), 1, 0)</f>
        <v>1</v>
      </c>
      <c r="F20" s="11">
        <f>IF(AND(ChartTable[[#This Row],[Novo?]]=0, ChartTable[[#This Row],[Valor Ativo]]&lt;&gt;ChartTable[[#This Row],[Valor Encerrado]]), 1, 0)</f>
        <v>0</v>
      </c>
      <c r="G20" s="18" t="str">
        <f>IF(ChartTable[[#This Row],[Mudou?]]=1, ChartTable[[#This Row],[Valor Encerrado]]-ChartTable[[#This Row],[Valor Ativo]], "")</f>
        <v/>
      </c>
      <c r="H20" s="11" t="str">
        <f>IF(ChartTable[[#This Row],[Mudou?]]=1, IF(ChartTable[[#This Row],[Diferença]]&gt;0, "aumentou", "diminuiu"), "")</f>
        <v/>
      </c>
      <c r="I20" s="11" t="str" cm="1">
        <f t="array" ref="I20">_xlfn.IFS(ChartTable[[#This Row],[Exluido?]]=1,"Excluido",ChartTable[[#This Row],[Novo?]]=1, "Novo", ChartTable[[#This Row],[Mudou?]]=1, "Mudou")</f>
        <v>Novo</v>
      </c>
    </row>
    <row r="21" spans="1:9" x14ac:dyDescent="0.25">
      <c r="A21" t="s">
        <v>30</v>
      </c>
      <c r="B21" s="10">
        <v>303298018.80739778</v>
      </c>
      <c r="C21" s="10"/>
      <c r="D21" s="11">
        <f>IF(AND(ChartTable[[#This Row],[Valor Encerrado]]=0, ChartTable[[#This Row],[Valor Ativo]]=""), 1, 0)</f>
        <v>0</v>
      </c>
      <c r="E21" s="11">
        <f>IF(AND(ChartTable[[#This Row],[Valor Ativo]]&lt;&gt;"", ChartTable[[#This Row],[Valor Encerrado]]=""), 1, 0)</f>
        <v>1</v>
      </c>
      <c r="F21" s="11">
        <f>IF(AND(ChartTable[[#This Row],[Novo?]]=0, ChartTable[[#This Row],[Valor Ativo]]&lt;&gt;ChartTable[[#This Row],[Valor Encerrado]]), 1, 0)</f>
        <v>0</v>
      </c>
      <c r="G21" s="18" t="str">
        <f>IF(ChartTable[[#This Row],[Mudou?]]=1, ChartTable[[#This Row],[Valor Encerrado]]-ChartTable[[#This Row],[Valor Ativo]], "")</f>
        <v/>
      </c>
      <c r="H21" s="11" t="str">
        <f>IF(ChartTable[[#This Row],[Mudou?]]=1, IF(ChartTable[[#This Row],[Diferença]]&gt;0, "aumentou", "diminuiu"), "")</f>
        <v/>
      </c>
      <c r="I21" s="11" t="str" cm="1">
        <f t="array" ref="I21">_xlfn.IFS(ChartTable[[#This Row],[Exluido?]]=1,"Excluido",ChartTable[[#This Row],[Novo?]]=1, "Novo", ChartTable[[#This Row],[Mudou?]]=1, "Mudou")</f>
        <v>Novo</v>
      </c>
    </row>
    <row r="22" spans="1:9" x14ac:dyDescent="0.25">
      <c r="A22" t="s">
        <v>31</v>
      </c>
      <c r="B22" s="10">
        <v>168498899.3374432</v>
      </c>
      <c r="C22" s="10"/>
      <c r="D22" s="11">
        <f>IF(AND(ChartTable[[#This Row],[Valor Encerrado]]=0, ChartTable[[#This Row],[Valor Ativo]]=""), 1, 0)</f>
        <v>0</v>
      </c>
      <c r="E22" s="11">
        <f>IF(AND(ChartTable[[#This Row],[Valor Ativo]]&lt;&gt;"", ChartTable[[#This Row],[Valor Encerrado]]=""), 1, 0)</f>
        <v>1</v>
      </c>
      <c r="F22" s="11">
        <f>IF(AND(ChartTable[[#This Row],[Novo?]]=0, ChartTable[[#This Row],[Valor Ativo]]&lt;&gt;ChartTable[[#This Row],[Valor Encerrado]]), 1, 0)</f>
        <v>0</v>
      </c>
      <c r="G22" s="18" t="str">
        <f>IF(ChartTable[[#This Row],[Mudou?]]=1, ChartTable[[#This Row],[Valor Encerrado]]-ChartTable[[#This Row],[Valor Ativo]], "")</f>
        <v/>
      </c>
      <c r="H22" s="11" t="str">
        <f>IF(ChartTable[[#This Row],[Mudou?]]=1, IF(ChartTable[[#This Row],[Diferença]]&gt;0, "aumentou", "diminuiu"), "")</f>
        <v/>
      </c>
      <c r="I22" s="11" t="str" cm="1">
        <f t="array" ref="I22">_xlfn.IFS(ChartTable[[#This Row],[Exluido?]]=1,"Excluido",ChartTable[[#This Row],[Novo?]]=1, "Novo", ChartTable[[#This Row],[Mudou?]]=1, "Mudou")</f>
        <v>Novo</v>
      </c>
    </row>
    <row r="23" spans="1:9" x14ac:dyDescent="0.25">
      <c r="A23" t="s">
        <v>32</v>
      </c>
      <c r="B23" s="10">
        <v>93610499.631912887</v>
      </c>
      <c r="C23" s="10"/>
      <c r="D23" s="11">
        <f>IF(AND(ChartTable[[#This Row],[Valor Encerrado]]=0, ChartTable[[#This Row],[Valor Ativo]]=""), 1, 0)</f>
        <v>0</v>
      </c>
      <c r="E23" s="11">
        <f>IF(AND(ChartTable[[#This Row],[Valor Ativo]]&lt;&gt;"", ChartTable[[#This Row],[Valor Encerrado]]=""), 1, 0)</f>
        <v>1</v>
      </c>
      <c r="F23" s="11">
        <f>IF(AND(ChartTable[[#This Row],[Novo?]]=0, ChartTable[[#This Row],[Valor Ativo]]&lt;&gt;ChartTable[[#This Row],[Valor Encerrado]]), 1, 0)</f>
        <v>0</v>
      </c>
      <c r="G23" s="18" t="str">
        <f>IF(ChartTable[[#This Row],[Mudou?]]=1, ChartTable[[#This Row],[Valor Encerrado]]-ChartTable[[#This Row],[Valor Ativo]], "")</f>
        <v/>
      </c>
      <c r="H23" s="11" t="str">
        <f>IF(ChartTable[[#This Row],[Mudou?]]=1, IF(ChartTable[[#This Row],[Diferença]]&gt;0, "aumentou", "diminuiu"), "")</f>
        <v/>
      </c>
      <c r="I23" s="11" t="str" cm="1">
        <f t="array" ref="I23">_xlfn.IFS(ChartTable[[#This Row],[Exluido?]]=1,"Excluido",ChartTable[[#This Row],[Novo?]]=1, "Novo", ChartTable[[#This Row],[Mudou?]]=1, "Mudou")</f>
        <v>Novo</v>
      </c>
    </row>
    <row r="24" spans="1:9" x14ac:dyDescent="0.25">
      <c r="A24" t="s">
        <v>33</v>
      </c>
      <c r="B24" s="10">
        <v>52005833.128840491</v>
      </c>
      <c r="C24" s="10"/>
      <c r="D24" s="11">
        <f>IF(AND(ChartTable[[#This Row],[Valor Encerrado]]=0, ChartTable[[#This Row],[Valor Ativo]]=""), 1, 0)</f>
        <v>0</v>
      </c>
      <c r="E24" s="11">
        <f>IF(AND(ChartTable[[#This Row],[Valor Ativo]]&lt;&gt;"", ChartTable[[#This Row],[Valor Encerrado]]=""), 1, 0)</f>
        <v>1</v>
      </c>
      <c r="F24" s="11">
        <f>IF(AND(ChartTable[[#This Row],[Novo?]]=0, ChartTable[[#This Row],[Valor Ativo]]&lt;&gt;ChartTable[[#This Row],[Valor Encerrado]]), 1, 0)</f>
        <v>0</v>
      </c>
      <c r="G24" s="18" t="str">
        <f>IF(ChartTable[[#This Row],[Mudou?]]=1, ChartTable[[#This Row],[Valor Encerrado]]-ChartTable[[#This Row],[Valor Ativo]], "")</f>
        <v/>
      </c>
      <c r="H24" s="11" t="str">
        <f>IF(ChartTable[[#This Row],[Mudou?]]=1, IF(ChartTable[[#This Row],[Diferença]]&gt;0, "aumentou", "diminuiu"), "")</f>
        <v/>
      </c>
      <c r="I24" s="11" t="str" cm="1">
        <f t="array" ref="I24">_xlfn.IFS(ChartTable[[#This Row],[Exluido?]]=1,"Excluido",ChartTable[[#This Row],[Novo?]]=1, "Novo", ChartTable[[#This Row],[Mudou?]]=1, "Mudou")</f>
        <v>Novo</v>
      </c>
    </row>
    <row r="25" spans="1:9" x14ac:dyDescent="0.25">
      <c r="A25" t="s">
        <v>34</v>
      </c>
      <c r="B25" s="10">
        <v>28892129.516022496</v>
      </c>
      <c r="C25" s="10"/>
      <c r="D25" s="11">
        <f>IF(AND(ChartTable[[#This Row],[Valor Encerrado]]=0, ChartTable[[#This Row],[Valor Ativo]]=""), 1, 0)</f>
        <v>0</v>
      </c>
      <c r="E25" s="11">
        <f>IF(AND(ChartTable[[#This Row],[Valor Ativo]]&lt;&gt;"", ChartTable[[#This Row],[Valor Encerrado]]=""), 1, 0)</f>
        <v>1</v>
      </c>
      <c r="F25" s="11">
        <f>IF(AND(ChartTable[[#This Row],[Novo?]]=0, ChartTable[[#This Row],[Valor Ativo]]&lt;&gt;ChartTable[[#This Row],[Valor Encerrado]]), 1, 0)</f>
        <v>0</v>
      </c>
      <c r="G25" s="18" t="str">
        <f>IF(ChartTable[[#This Row],[Mudou?]]=1, ChartTable[[#This Row],[Valor Encerrado]]-ChartTable[[#This Row],[Valor Ativo]], "")</f>
        <v/>
      </c>
      <c r="H25" s="11" t="str">
        <f>IF(ChartTable[[#This Row],[Mudou?]]=1, IF(ChartTable[[#This Row],[Diferença]]&gt;0, "aumentou", "diminuiu"), "")</f>
        <v/>
      </c>
      <c r="I25" s="11" t="str" cm="1">
        <f t="array" ref="I25">_xlfn.IFS(ChartTable[[#This Row],[Exluido?]]=1,"Excluido",ChartTable[[#This Row],[Novo?]]=1, "Novo", ChartTable[[#This Row],[Mudou?]]=1, "Mudou")</f>
        <v>Novo</v>
      </c>
    </row>
    <row r="26" spans="1:9" x14ac:dyDescent="0.25">
      <c r="A26" t="s">
        <v>35</v>
      </c>
      <c r="B26" s="10">
        <v>16051183.064456942</v>
      </c>
      <c r="C26" s="10"/>
      <c r="D26" s="11">
        <f>IF(AND(ChartTable[[#This Row],[Valor Encerrado]]=0, ChartTable[[#This Row],[Valor Ativo]]=""), 1, 0)</f>
        <v>0</v>
      </c>
      <c r="E26" s="11">
        <f>IF(AND(ChartTable[[#This Row],[Valor Ativo]]&lt;&gt;"", ChartTable[[#This Row],[Valor Encerrado]]=""), 1, 0)</f>
        <v>1</v>
      </c>
      <c r="F26" s="11">
        <f>IF(AND(ChartTable[[#This Row],[Novo?]]=0, ChartTable[[#This Row],[Valor Ativo]]&lt;&gt;ChartTable[[#This Row],[Valor Encerrado]]), 1, 0)</f>
        <v>0</v>
      </c>
      <c r="G26" s="18" t="str">
        <f>IF(ChartTable[[#This Row],[Mudou?]]=1, ChartTable[[#This Row],[Valor Encerrado]]-ChartTable[[#This Row],[Valor Ativo]], "")</f>
        <v/>
      </c>
      <c r="H26" s="11" t="str">
        <f>IF(ChartTable[[#This Row],[Mudou?]]=1, IF(ChartTable[[#This Row],[Diferença]]&gt;0, "aumentou", "diminuiu"), "")</f>
        <v/>
      </c>
      <c r="I26" s="11" t="str" cm="1">
        <f t="array" ref="I26">_xlfn.IFS(ChartTable[[#This Row],[Exluido?]]=1,"Excluido",ChartTable[[#This Row],[Novo?]]=1, "Novo", ChartTable[[#This Row],[Mudou?]]=1, "Mudou")</f>
        <v>Novo</v>
      </c>
    </row>
    <row r="27" spans="1:9" x14ac:dyDescent="0.25">
      <c r="A27" t="s">
        <v>36</v>
      </c>
      <c r="B27" s="10">
        <v>8917323.9246983007</v>
      </c>
      <c r="C27" s="10"/>
      <c r="D27" s="11">
        <f>IF(AND(ChartTable[[#This Row],[Valor Encerrado]]=0, ChartTable[[#This Row],[Valor Ativo]]=""), 1, 0)</f>
        <v>0</v>
      </c>
      <c r="E27" s="11">
        <f>IF(AND(ChartTable[[#This Row],[Valor Ativo]]&lt;&gt;"", ChartTable[[#This Row],[Valor Encerrado]]=""), 1, 0)</f>
        <v>1</v>
      </c>
      <c r="F27" s="11">
        <f>IF(AND(ChartTable[[#This Row],[Novo?]]=0, ChartTable[[#This Row],[Valor Ativo]]&lt;&gt;ChartTable[[#This Row],[Valor Encerrado]]), 1, 0)</f>
        <v>0</v>
      </c>
      <c r="G27" s="18" t="str">
        <f>IF(ChartTable[[#This Row],[Mudou?]]=1, ChartTable[[#This Row],[Valor Encerrado]]-ChartTable[[#This Row],[Valor Ativo]], "")</f>
        <v/>
      </c>
      <c r="H27" s="11" t="str">
        <f>IF(ChartTable[[#This Row],[Mudou?]]=1, IF(ChartTable[[#This Row],[Diferença]]&gt;0, "aumentou", "diminuiu"), "")</f>
        <v/>
      </c>
      <c r="I27" s="11" t="str" cm="1">
        <f t="array" ref="I27">_xlfn.IFS(ChartTable[[#This Row],[Exluido?]]=1,"Excluido",ChartTable[[#This Row],[Novo?]]=1, "Novo", ChartTable[[#This Row],[Mudou?]]=1, "Mudou")</f>
        <v>Novo</v>
      </c>
    </row>
    <row r="28" spans="1:9" x14ac:dyDescent="0.25">
      <c r="A28" t="s">
        <v>37</v>
      </c>
      <c r="B28" s="10">
        <v>4954068.847054611</v>
      </c>
      <c r="C28" s="10"/>
      <c r="D28" s="11">
        <f>IF(AND(ChartTable[[#This Row],[Valor Encerrado]]=0, ChartTable[[#This Row],[Valor Ativo]]=""), 1, 0)</f>
        <v>0</v>
      </c>
      <c r="E28" s="11">
        <f>IF(AND(ChartTable[[#This Row],[Valor Ativo]]&lt;&gt;"", ChartTable[[#This Row],[Valor Encerrado]]=""), 1, 0)</f>
        <v>1</v>
      </c>
      <c r="F28" s="11">
        <f>IF(AND(ChartTable[[#This Row],[Novo?]]=0, ChartTable[[#This Row],[Valor Ativo]]&lt;&gt;ChartTable[[#This Row],[Valor Encerrado]]), 1, 0)</f>
        <v>0</v>
      </c>
      <c r="G28" s="18" t="str">
        <f>IF(ChartTable[[#This Row],[Mudou?]]=1, ChartTable[[#This Row],[Valor Encerrado]]-ChartTable[[#This Row],[Valor Ativo]], "")</f>
        <v/>
      </c>
      <c r="H28" s="11" t="str">
        <f>IF(ChartTable[[#This Row],[Mudou?]]=1, IF(ChartTable[[#This Row],[Diferença]]&gt;0, "aumentou", "diminuiu"), "")</f>
        <v/>
      </c>
      <c r="I28" s="11" t="str" cm="1">
        <f t="array" ref="I28">_xlfn.IFS(ChartTable[[#This Row],[Exluido?]]=1,"Excluido",ChartTable[[#This Row],[Novo?]]=1, "Novo", ChartTable[[#This Row],[Mudou?]]=1, "Mudou")</f>
        <v>Novo</v>
      </c>
    </row>
    <row r="29" spans="1:9" x14ac:dyDescent="0.25">
      <c r="A29" t="s">
        <v>38</v>
      </c>
      <c r="B29" s="10">
        <v>2752260.4705858948</v>
      </c>
      <c r="C29" s="10"/>
      <c r="D29" s="11">
        <f>IF(AND(ChartTable[[#This Row],[Valor Encerrado]]=0, ChartTable[[#This Row],[Valor Ativo]]=""), 1, 0)</f>
        <v>0</v>
      </c>
      <c r="E29" s="11">
        <f>IF(AND(ChartTable[[#This Row],[Valor Ativo]]&lt;&gt;"", ChartTable[[#This Row],[Valor Encerrado]]=""), 1, 0)</f>
        <v>1</v>
      </c>
      <c r="F29" s="11">
        <f>IF(AND(ChartTable[[#This Row],[Novo?]]=0, ChartTable[[#This Row],[Valor Ativo]]&lt;&gt;ChartTable[[#This Row],[Valor Encerrado]]), 1, 0)</f>
        <v>0</v>
      </c>
      <c r="G29" s="18" t="str">
        <f>IF(ChartTable[[#This Row],[Mudou?]]=1, ChartTable[[#This Row],[Valor Encerrado]]-ChartTable[[#This Row],[Valor Ativo]], "")</f>
        <v/>
      </c>
      <c r="H29" s="11" t="str">
        <f>IF(ChartTable[[#This Row],[Mudou?]]=1, IF(ChartTable[[#This Row],[Diferença]]&gt;0, "aumentou", "diminuiu"), "")</f>
        <v/>
      </c>
      <c r="I29" s="11" t="str" cm="1">
        <f t="array" ref="I29">_xlfn.IFS(ChartTable[[#This Row],[Exluido?]]=1,"Excluido",ChartTable[[#This Row],[Novo?]]=1, "Novo", ChartTable[[#This Row],[Mudou?]]=1, "Mudou")</f>
        <v>Novo</v>
      </c>
    </row>
    <row r="30" spans="1:9" x14ac:dyDescent="0.25">
      <c r="A30" t="s">
        <v>39</v>
      </c>
      <c r="B30" s="10">
        <v>1529033.5947699414</v>
      </c>
      <c r="C30" s="10"/>
      <c r="D30" s="11">
        <f>IF(AND(ChartTable[[#This Row],[Valor Encerrado]]=0, ChartTable[[#This Row],[Valor Ativo]]=""), 1, 0)</f>
        <v>0</v>
      </c>
      <c r="E30" s="11">
        <f>IF(AND(ChartTable[[#This Row],[Valor Ativo]]&lt;&gt;"", ChartTable[[#This Row],[Valor Encerrado]]=""), 1, 0)</f>
        <v>1</v>
      </c>
      <c r="F30" s="11">
        <f>IF(AND(ChartTable[[#This Row],[Novo?]]=0, ChartTable[[#This Row],[Valor Ativo]]&lt;&gt;ChartTable[[#This Row],[Valor Encerrado]]), 1, 0)</f>
        <v>0</v>
      </c>
      <c r="G30" s="18" t="str">
        <f>IF(ChartTable[[#This Row],[Mudou?]]=1, ChartTable[[#This Row],[Valor Encerrado]]-ChartTable[[#This Row],[Valor Ativo]], "")</f>
        <v/>
      </c>
      <c r="H30" s="11" t="str">
        <f>IF(ChartTable[[#This Row],[Mudou?]]=1, IF(ChartTable[[#This Row],[Diferença]]&gt;0, "aumentou", "diminuiu"), "")</f>
        <v/>
      </c>
      <c r="I30" s="11" t="str" cm="1">
        <f t="array" ref="I30">_xlfn.IFS(ChartTable[[#This Row],[Exluido?]]=1,"Excluido",ChartTable[[#This Row],[Novo?]]=1, "Novo", ChartTable[[#This Row],[Mudou?]]=1, "Mudou")</f>
        <v>Novo</v>
      </c>
    </row>
    <row r="31" spans="1:9" x14ac:dyDescent="0.25">
      <c r="A31" t="s">
        <v>40</v>
      </c>
      <c r="B31" s="10">
        <v>849463.10820552299</v>
      </c>
      <c r="C31" s="10"/>
      <c r="D31" s="11">
        <f>IF(AND(ChartTable[[#This Row],[Valor Encerrado]]=0, ChartTable[[#This Row],[Valor Ativo]]=""), 1, 0)</f>
        <v>0</v>
      </c>
      <c r="E31" s="11">
        <f>IF(AND(ChartTable[[#This Row],[Valor Ativo]]&lt;&gt;"", ChartTable[[#This Row],[Valor Encerrado]]=""), 1, 0)</f>
        <v>1</v>
      </c>
      <c r="F31" s="11">
        <f>IF(AND(ChartTable[[#This Row],[Novo?]]=0, ChartTable[[#This Row],[Valor Ativo]]&lt;&gt;ChartTable[[#This Row],[Valor Encerrado]]), 1, 0)</f>
        <v>0</v>
      </c>
      <c r="G31" s="18" t="str">
        <f>IF(ChartTable[[#This Row],[Mudou?]]=1, ChartTable[[#This Row],[Valor Encerrado]]-ChartTable[[#This Row],[Valor Ativo]], "")</f>
        <v/>
      </c>
      <c r="H31" s="11" t="str">
        <f>IF(ChartTable[[#This Row],[Mudou?]]=1, IF(ChartTable[[#This Row],[Diferença]]&gt;0, "aumentou", "diminuiu"), "")</f>
        <v/>
      </c>
      <c r="I31" s="11" t="str" cm="1">
        <f t="array" ref="I31">_xlfn.IFS(ChartTable[[#This Row],[Exluido?]]=1,"Excluido",ChartTable[[#This Row],[Novo?]]=1, "Novo", ChartTable[[#This Row],[Mudou?]]=1, "Mudou")</f>
        <v>Novo</v>
      </c>
    </row>
    <row r="32" spans="1:9" x14ac:dyDescent="0.25">
      <c r="A32" t="s">
        <v>41</v>
      </c>
      <c r="B32" s="10">
        <v>471923.94900306832</v>
      </c>
      <c r="C32" s="10"/>
      <c r="D32" s="11">
        <f>IF(AND(ChartTable[[#This Row],[Valor Encerrado]]=0, ChartTable[[#This Row],[Valor Ativo]]=""), 1, 0)</f>
        <v>0</v>
      </c>
      <c r="E32" s="11">
        <f>IF(AND(ChartTable[[#This Row],[Valor Ativo]]&lt;&gt;"", ChartTable[[#This Row],[Valor Encerrado]]=""), 1, 0)</f>
        <v>1</v>
      </c>
      <c r="F32" s="11">
        <f>IF(AND(ChartTable[[#This Row],[Novo?]]=0, ChartTable[[#This Row],[Valor Ativo]]&lt;&gt;ChartTable[[#This Row],[Valor Encerrado]]), 1, 0)</f>
        <v>0</v>
      </c>
      <c r="G32" s="18" t="str">
        <f>IF(ChartTable[[#This Row],[Mudou?]]=1, ChartTable[[#This Row],[Valor Encerrado]]-ChartTable[[#This Row],[Valor Ativo]], "")</f>
        <v/>
      </c>
      <c r="H32" s="11" t="str">
        <f>IF(ChartTable[[#This Row],[Mudou?]]=1, IF(ChartTable[[#This Row],[Diferença]]&gt;0, "aumentou", "diminuiu"), "")</f>
        <v/>
      </c>
      <c r="I32" s="11" t="str" cm="1">
        <f t="array" ref="I32">_xlfn.IFS(ChartTable[[#This Row],[Exluido?]]=1,"Excluido",ChartTable[[#This Row],[Novo?]]=1, "Novo", ChartTable[[#This Row],[Mudou?]]=1, "Mudou")</f>
        <v>Novo</v>
      </c>
    </row>
    <row r="33" spans="1:9" x14ac:dyDescent="0.25">
      <c r="A33" t="s">
        <v>42</v>
      </c>
      <c r="B33" s="10">
        <v>262179.97166837129</v>
      </c>
      <c r="C33" s="10"/>
      <c r="D33" s="11">
        <f>IF(AND(ChartTable[[#This Row],[Valor Encerrado]]=0, ChartTable[[#This Row],[Valor Ativo]]=""), 1, 0)</f>
        <v>0</v>
      </c>
      <c r="E33" s="11">
        <f>IF(AND(ChartTable[[#This Row],[Valor Ativo]]&lt;&gt;"", ChartTable[[#This Row],[Valor Encerrado]]=""), 1, 0)</f>
        <v>1</v>
      </c>
      <c r="F33" s="11">
        <f>IF(AND(ChartTable[[#This Row],[Novo?]]=0, ChartTable[[#This Row],[Valor Ativo]]&lt;&gt;ChartTable[[#This Row],[Valor Encerrado]]), 1, 0)</f>
        <v>0</v>
      </c>
      <c r="G33" s="18" t="str">
        <f>IF(ChartTable[[#This Row],[Mudou?]]=1, ChartTable[[#This Row],[Valor Encerrado]]-ChartTable[[#This Row],[Valor Ativo]], "")</f>
        <v/>
      </c>
      <c r="H33" s="11" t="str">
        <f>IF(ChartTable[[#This Row],[Mudou?]]=1, IF(ChartTable[[#This Row],[Diferença]]&gt;0, "aumentou", "diminuiu"), "")</f>
        <v/>
      </c>
      <c r="I33" s="11" t="str" cm="1">
        <f t="array" ref="I33">_xlfn.IFS(ChartTable[[#This Row],[Exluido?]]=1,"Excluido",ChartTable[[#This Row],[Novo?]]=1, "Novo", ChartTable[[#This Row],[Mudou?]]=1, "Mudou")</f>
        <v>Novo</v>
      </c>
    </row>
    <row r="34" spans="1:9" x14ac:dyDescent="0.25">
      <c r="A34" t="s">
        <v>43</v>
      </c>
      <c r="B34" s="10">
        <v>145655.53981576182</v>
      </c>
      <c r="C34" s="10"/>
      <c r="D34" s="11">
        <f>IF(AND(ChartTable[[#This Row],[Valor Encerrado]]=0, ChartTable[[#This Row],[Valor Ativo]]=""), 1, 0)</f>
        <v>0</v>
      </c>
      <c r="E34" s="11">
        <f>IF(AND(ChartTable[[#This Row],[Valor Ativo]]&lt;&gt;"", ChartTable[[#This Row],[Valor Encerrado]]=""), 1, 0)</f>
        <v>1</v>
      </c>
      <c r="F34" s="11">
        <f>IF(AND(ChartTable[[#This Row],[Novo?]]=0, ChartTable[[#This Row],[Valor Ativo]]&lt;&gt;ChartTable[[#This Row],[Valor Encerrado]]), 1, 0)</f>
        <v>0</v>
      </c>
      <c r="G34" s="18" t="str">
        <f>IF(ChartTable[[#This Row],[Mudou?]]=1, ChartTable[[#This Row],[Valor Encerrado]]-ChartTable[[#This Row],[Valor Ativo]], "")</f>
        <v/>
      </c>
      <c r="H34" s="11" t="str">
        <f>IF(ChartTable[[#This Row],[Mudou?]]=1, IF(ChartTable[[#This Row],[Diferença]]&gt;0, "aumentou", "diminuiu"), "")</f>
        <v/>
      </c>
      <c r="I34" s="11" t="str" cm="1">
        <f t="array" ref="I34">_xlfn.IFS(ChartTable[[#This Row],[Exluido?]]=1,"Excluido",ChartTable[[#This Row],[Novo?]]=1, "Novo", ChartTable[[#This Row],[Mudou?]]=1, "Mudou")</f>
        <v>Novo</v>
      </c>
    </row>
    <row r="35" spans="1:9" x14ac:dyDescent="0.25">
      <c r="A35" t="s">
        <v>44</v>
      </c>
      <c r="B35" s="10">
        <v>80919.744342089893</v>
      </c>
      <c r="C35" s="10"/>
      <c r="D35" s="11">
        <f>IF(AND(ChartTable[[#This Row],[Valor Encerrado]]=0, ChartTable[[#This Row],[Valor Ativo]]=""), 1, 0)</f>
        <v>0</v>
      </c>
      <c r="E35" s="11">
        <f>IF(AND(ChartTable[[#This Row],[Valor Ativo]]&lt;&gt;"", ChartTable[[#This Row],[Valor Encerrado]]=""), 1, 0)</f>
        <v>1</v>
      </c>
      <c r="F35" s="11">
        <f>IF(AND(ChartTable[[#This Row],[Novo?]]=0, ChartTable[[#This Row],[Valor Ativo]]&lt;&gt;ChartTable[[#This Row],[Valor Encerrado]]), 1, 0)</f>
        <v>0</v>
      </c>
      <c r="G35" s="18" t="str">
        <f>IF(ChartTable[[#This Row],[Mudou?]]=1, ChartTable[[#This Row],[Valor Encerrado]]-ChartTable[[#This Row],[Valor Ativo]], "")</f>
        <v/>
      </c>
      <c r="H35" s="11" t="str">
        <f>IF(ChartTable[[#This Row],[Mudou?]]=1, IF(ChartTable[[#This Row],[Diferença]]&gt;0, "aumentou", "diminuiu"), "")</f>
        <v/>
      </c>
      <c r="I35" s="11" t="str" cm="1">
        <f t="array" ref="I35">_xlfn.IFS(ChartTable[[#This Row],[Exluido?]]=1,"Excluido",ChartTable[[#This Row],[Novo?]]=1, "Novo", ChartTable[[#This Row],[Mudou?]]=1, "Mudou")</f>
        <v>Novo</v>
      </c>
    </row>
    <row r="36" spans="1:9" x14ac:dyDescent="0.25">
      <c r="A36" t="s">
        <v>45</v>
      </c>
      <c r="B36" s="10">
        <v>44955.413523383271</v>
      </c>
      <c r="C36" s="10"/>
      <c r="D36" s="11">
        <f>IF(AND(ChartTable[[#This Row],[Valor Encerrado]]=0, ChartTable[[#This Row],[Valor Ativo]]=""), 1, 0)</f>
        <v>0</v>
      </c>
      <c r="E36" s="11">
        <f>IF(AND(ChartTable[[#This Row],[Valor Ativo]]&lt;&gt;"", ChartTable[[#This Row],[Valor Encerrado]]=""), 1, 0)</f>
        <v>1</v>
      </c>
      <c r="F36" s="11">
        <f>IF(AND(ChartTable[[#This Row],[Novo?]]=0, ChartTable[[#This Row],[Valor Ativo]]&lt;&gt;ChartTable[[#This Row],[Valor Encerrado]]), 1, 0)</f>
        <v>0</v>
      </c>
      <c r="G36" s="18" t="str">
        <f>IF(ChartTable[[#This Row],[Mudou?]]=1, ChartTable[[#This Row],[Valor Encerrado]]-ChartTable[[#This Row],[Valor Ativo]], "")</f>
        <v/>
      </c>
      <c r="H36" s="11" t="str">
        <f>IF(ChartTable[[#This Row],[Mudou?]]=1, IF(ChartTable[[#This Row],[Diferença]]&gt;0, "aumentou", "diminuiu"), "")</f>
        <v/>
      </c>
      <c r="I36" s="11" t="str" cm="1">
        <f t="array" ref="I36">_xlfn.IFS(ChartTable[[#This Row],[Exluido?]]=1,"Excluido",ChartTable[[#This Row],[Novo?]]=1, "Novo", ChartTable[[#This Row],[Mudou?]]=1, "Mudou")</f>
        <v>Novo</v>
      </c>
    </row>
    <row r="37" spans="1:9" x14ac:dyDescent="0.25">
      <c r="A37" t="s">
        <v>46</v>
      </c>
      <c r="B37" s="10">
        <v>24975.229735212928</v>
      </c>
      <c r="C37" s="10"/>
      <c r="D37" s="11">
        <f>IF(AND(ChartTable[[#This Row],[Valor Encerrado]]=0, ChartTable[[#This Row],[Valor Ativo]]=""), 1, 0)</f>
        <v>0</v>
      </c>
      <c r="E37" s="11">
        <f>IF(AND(ChartTable[[#This Row],[Valor Ativo]]&lt;&gt;"", ChartTable[[#This Row],[Valor Encerrado]]=""), 1, 0)</f>
        <v>1</v>
      </c>
      <c r="F37" s="11">
        <f>IF(AND(ChartTable[[#This Row],[Novo?]]=0, ChartTable[[#This Row],[Valor Ativo]]&lt;&gt;ChartTable[[#This Row],[Valor Encerrado]]), 1, 0)</f>
        <v>0</v>
      </c>
      <c r="G37" s="18" t="str">
        <f>IF(ChartTable[[#This Row],[Mudou?]]=1, ChartTable[[#This Row],[Valor Encerrado]]-ChartTable[[#This Row],[Valor Ativo]], "")</f>
        <v/>
      </c>
      <c r="H37" s="11" t="str">
        <f>IF(ChartTable[[#This Row],[Mudou?]]=1, IF(ChartTable[[#This Row],[Diferença]]&gt;0, "aumentou", "diminuiu"), "")</f>
        <v/>
      </c>
      <c r="I37" s="11" t="str" cm="1">
        <f t="array" ref="I37">_xlfn.IFS(ChartTable[[#This Row],[Exluido?]]=1,"Excluido",ChartTable[[#This Row],[Novo?]]=1, "Novo", ChartTable[[#This Row],[Mudou?]]=1, "Mudou")</f>
        <v>Novo</v>
      </c>
    </row>
    <row r="38" spans="1:9" x14ac:dyDescent="0.25">
      <c r="A38" t="s">
        <v>47</v>
      </c>
      <c r="B38" s="10">
        <v>13875.127630673849</v>
      </c>
      <c r="C38" s="10"/>
      <c r="D38" s="11">
        <f>IF(AND(ChartTable[[#This Row],[Valor Encerrado]]=0, ChartTable[[#This Row],[Valor Ativo]]=""), 1, 0)</f>
        <v>0</v>
      </c>
      <c r="E38" s="11">
        <f>IF(AND(ChartTable[[#This Row],[Valor Ativo]]&lt;&gt;"", ChartTable[[#This Row],[Valor Encerrado]]=""), 1, 0)</f>
        <v>1</v>
      </c>
      <c r="F38" s="11">
        <f>IF(AND(ChartTable[[#This Row],[Novo?]]=0, ChartTable[[#This Row],[Valor Ativo]]&lt;&gt;ChartTable[[#This Row],[Valor Encerrado]]), 1, 0)</f>
        <v>0</v>
      </c>
      <c r="G38" s="18" t="str">
        <f>IF(ChartTable[[#This Row],[Mudou?]]=1, ChartTable[[#This Row],[Valor Encerrado]]-ChartTable[[#This Row],[Valor Ativo]], "")</f>
        <v/>
      </c>
      <c r="H38" s="11" t="str">
        <f>IF(ChartTable[[#This Row],[Mudou?]]=1, IF(ChartTable[[#This Row],[Diferença]]&gt;0, "aumentou", "diminuiu"), "")</f>
        <v/>
      </c>
      <c r="I38" s="11" t="str" cm="1">
        <f t="array" ref="I38">_xlfn.IFS(ChartTable[[#This Row],[Exluido?]]=1,"Excluido",ChartTable[[#This Row],[Novo?]]=1, "Novo", ChartTable[[#This Row],[Mudou?]]=1, "Mudou")</f>
        <v>Novo</v>
      </c>
    </row>
    <row r="39" spans="1:9" x14ac:dyDescent="0.25">
      <c r="A39" t="s">
        <v>48</v>
      </c>
      <c r="B39" s="10">
        <v>7708.4042392632491</v>
      </c>
      <c r="C39" s="10"/>
      <c r="D39" s="11">
        <f>IF(AND(ChartTable[[#This Row],[Valor Encerrado]]=0, ChartTable[[#This Row],[Valor Ativo]]=""), 1, 0)</f>
        <v>0</v>
      </c>
      <c r="E39" s="11">
        <f>IF(AND(ChartTable[[#This Row],[Valor Ativo]]&lt;&gt;"", ChartTable[[#This Row],[Valor Encerrado]]=""), 1, 0)</f>
        <v>1</v>
      </c>
      <c r="F39" s="11">
        <f>IF(AND(ChartTable[[#This Row],[Novo?]]=0, ChartTable[[#This Row],[Valor Ativo]]&lt;&gt;ChartTable[[#This Row],[Valor Encerrado]]), 1, 0)</f>
        <v>0</v>
      </c>
      <c r="G39" s="18" t="str">
        <f>IF(ChartTable[[#This Row],[Mudou?]]=1, ChartTable[[#This Row],[Valor Encerrado]]-ChartTable[[#This Row],[Valor Ativo]], "")</f>
        <v/>
      </c>
      <c r="H39" s="11" t="str">
        <f>IF(ChartTable[[#This Row],[Mudou?]]=1, IF(ChartTable[[#This Row],[Diferença]]&gt;0, "aumentou", "diminuiu"), "")</f>
        <v/>
      </c>
      <c r="I39" s="11" t="str" cm="1">
        <f t="array" ref="I39">_xlfn.IFS(ChartTable[[#This Row],[Exluido?]]=1,"Excluido",ChartTable[[#This Row],[Novo?]]=1, "Novo", ChartTable[[#This Row],[Mudou?]]=1, "Mudou")</f>
        <v>Novo</v>
      </c>
    </row>
    <row r="40" spans="1:9" x14ac:dyDescent="0.25">
      <c r="A40" t="s">
        <v>49</v>
      </c>
      <c r="B40" s="10">
        <v>4282.4467995906934</v>
      </c>
      <c r="C40" s="10"/>
      <c r="D40" s="11">
        <f>IF(AND(ChartTable[[#This Row],[Valor Encerrado]]=0, ChartTable[[#This Row],[Valor Ativo]]=""), 1, 0)</f>
        <v>0</v>
      </c>
      <c r="E40" s="11">
        <f>IF(AND(ChartTable[[#This Row],[Valor Ativo]]&lt;&gt;"", ChartTable[[#This Row],[Valor Encerrado]]=""), 1, 0)</f>
        <v>1</v>
      </c>
      <c r="F40" s="11">
        <f>IF(AND(ChartTable[[#This Row],[Novo?]]=0, ChartTable[[#This Row],[Valor Ativo]]&lt;&gt;ChartTable[[#This Row],[Valor Encerrado]]), 1, 0)</f>
        <v>0</v>
      </c>
      <c r="G40" s="18" t="str">
        <f>IF(ChartTable[[#This Row],[Mudou?]]=1, ChartTable[[#This Row],[Valor Encerrado]]-ChartTable[[#This Row],[Valor Ativo]], "")</f>
        <v/>
      </c>
      <c r="H40" s="11" t="str">
        <f>IF(ChartTable[[#This Row],[Mudou?]]=1, IF(ChartTable[[#This Row],[Diferença]]&gt;0, "aumentou", "diminuiu"), "")</f>
        <v/>
      </c>
      <c r="I40" s="11" t="str" cm="1">
        <f t="array" ref="I40">_xlfn.IFS(ChartTable[[#This Row],[Exluido?]]=1,"Excluido",ChartTable[[#This Row],[Novo?]]=1, "Novo", ChartTable[[#This Row],[Mudou?]]=1, "Mudou")</f>
        <v>Novo</v>
      </c>
    </row>
    <row r="41" spans="1:9" x14ac:dyDescent="0.25">
      <c r="A41" t="s">
        <v>50</v>
      </c>
      <c r="B41" s="10">
        <v>2379.1371108837184</v>
      </c>
      <c r="C41" s="10"/>
      <c r="D41" s="11">
        <f>IF(AND(ChartTable[[#This Row],[Valor Encerrado]]=0, ChartTable[[#This Row],[Valor Ativo]]=""), 1, 0)</f>
        <v>0</v>
      </c>
      <c r="E41" s="11">
        <f>IF(AND(ChartTable[[#This Row],[Valor Ativo]]&lt;&gt;"", ChartTable[[#This Row],[Valor Encerrado]]=""), 1, 0)</f>
        <v>1</v>
      </c>
      <c r="F41" s="11">
        <f>IF(AND(ChartTable[[#This Row],[Novo?]]=0, ChartTable[[#This Row],[Valor Ativo]]&lt;&gt;ChartTable[[#This Row],[Valor Encerrado]]), 1, 0)</f>
        <v>0</v>
      </c>
      <c r="G41" s="18" t="str">
        <f>IF(ChartTable[[#This Row],[Mudou?]]=1, ChartTable[[#This Row],[Valor Encerrado]]-ChartTable[[#This Row],[Valor Ativo]], "")</f>
        <v/>
      </c>
      <c r="H41" s="11" t="str">
        <f>IF(ChartTable[[#This Row],[Mudou?]]=1, IF(ChartTable[[#This Row],[Diferença]]&gt;0, "aumentou", "diminuiu"), "")</f>
        <v/>
      </c>
      <c r="I41" s="11" t="str" cm="1">
        <f t="array" ref="I41">_xlfn.IFS(ChartTable[[#This Row],[Exluido?]]=1,"Excluido",ChartTable[[#This Row],[Novo?]]=1, "Novo", ChartTable[[#This Row],[Mudou?]]=1, "Mudou")</f>
        <v>Novo</v>
      </c>
    </row>
    <row r="42" spans="1:9" x14ac:dyDescent="0.25">
      <c r="A42" t="s">
        <v>51</v>
      </c>
      <c r="B42" s="10">
        <v>1321.7428393798434</v>
      </c>
      <c r="C42" s="10"/>
      <c r="D42" s="11">
        <f>IF(AND(ChartTable[[#This Row],[Valor Encerrado]]=0, ChartTable[[#This Row],[Valor Ativo]]=""), 1, 0)</f>
        <v>0</v>
      </c>
      <c r="E42" s="11">
        <f>IF(AND(ChartTable[[#This Row],[Valor Ativo]]&lt;&gt;"", ChartTable[[#This Row],[Valor Encerrado]]=""), 1, 0)</f>
        <v>1</v>
      </c>
      <c r="F42" s="11">
        <f>IF(AND(ChartTable[[#This Row],[Novo?]]=0, ChartTable[[#This Row],[Valor Ativo]]&lt;&gt;ChartTable[[#This Row],[Valor Encerrado]]), 1, 0)</f>
        <v>0</v>
      </c>
      <c r="G42" s="18" t="str">
        <f>IF(ChartTable[[#This Row],[Mudou?]]=1, ChartTable[[#This Row],[Valor Encerrado]]-ChartTable[[#This Row],[Valor Ativo]], "")</f>
        <v/>
      </c>
      <c r="H42" s="11" t="str">
        <f>IF(ChartTable[[#This Row],[Mudou?]]=1, IF(ChartTable[[#This Row],[Diferença]]&gt;0, "aumentou", "diminuiu"), "")</f>
        <v/>
      </c>
      <c r="I42" s="11" t="str" cm="1">
        <f t="array" ref="I42">_xlfn.IFS(ChartTable[[#This Row],[Exluido?]]=1,"Excluido",ChartTable[[#This Row],[Novo?]]=1, "Novo", ChartTable[[#This Row],[Mudou?]]=1, "Mudou")</f>
        <v>Novo</v>
      </c>
    </row>
    <row r="43" spans="1:9" x14ac:dyDescent="0.25">
      <c r="A43" t="s">
        <v>52</v>
      </c>
      <c r="B43" s="10">
        <v>734.30157743324628</v>
      </c>
      <c r="C43" s="10"/>
      <c r="D43" s="11">
        <f>IF(AND(ChartTable[[#This Row],[Valor Encerrado]]=0, ChartTable[[#This Row],[Valor Ativo]]=""), 1, 0)</f>
        <v>0</v>
      </c>
      <c r="E43" s="11">
        <f>IF(AND(ChartTable[[#This Row],[Valor Ativo]]&lt;&gt;"", ChartTable[[#This Row],[Valor Encerrado]]=""), 1, 0)</f>
        <v>1</v>
      </c>
      <c r="F43" s="11">
        <f>IF(AND(ChartTable[[#This Row],[Novo?]]=0, ChartTable[[#This Row],[Valor Ativo]]&lt;&gt;ChartTable[[#This Row],[Valor Encerrado]]), 1, 0)</f>
        <v>0</v>
      </c>
      <c r="G43" s="18" t="str">
        <f>IF(ChartTable[[#This Row],[Mudou?]]=1, ChartTable[[#This Row],[Valor Encerrado]]-ChartTable[[#This Row],[Valor Ativo]], "")</f>
        <v/>
      </c>
      <c r="H43" s="11" t="str">
        <f>IF(ChartTable[[#This Row],[Mudou?]]=1, IF(ChartTable[[#This Row],[Diferença]]&gt;0, "aumentou", "diminuiu"), "")</f>
        <v/>
      </c>
      <c r="I43" s="11" t="str" cm="1">
        <f t="array" ref="I43">_xlfn.IFS(ChartTable[[#This Row],[Exluido?]]=1,"Excluido",ChartTable[[#This Row],[Novo?]]=1, "Novo", ChartTable[[#This Row],[Mudou?]]=1, "Mudou")</f>
        <v>Novo</v>
      </c>
    </row>
    <row r="44" spans="1:9" x14ac:dyDescent="0.25">
      <c r="A44" t="s">
        <v>53</v>
      </c>
      <c r="B44" s="10">
        <v>407.94532079624793</v>
      </c>
      <c r="C44" s="10"/>
      <c r="D44" s="11">
        <f>IF(AND(ChartTable[[#This Row],[Valor Encerrado]]=0, ChartTable[[#This Row],[Valor Ativo]]=""), 1, 0)</f>
        <v>0</v>
      </c>
      <c r="E44" s="11">
        <f>IF(AND(ChartTable[[#This Row],[Valor Ativo]]&lt;&gt;"", ChartTable[[#This Row],[Valor Encerrado]]=""), 1, 0)</f>
        <v>1</v>
      </c>
      <c r="F44" s="11">
        <f>IF(AND(ChartTable[[#This Row],[Novo?]]=0, ChartTable[[#This Row],[Valor Ativo]]&lt;&gt;ChartTable[[#This Row],[Valor Encerrado]]), 1, 0)</f>
        <v>0</v>
      </c>
      <c r="G44" s="18" t="str">
        <f>IF(ChartTable[[#This Row],[Mudou?]]=1, ChartTable[[#This Row],[Valor Encerrado]]-ChartTable[[#This Row],[Valor Ativo]], "")</f>
        <v/>
      </c>
      <c r="H44" s="11" t="str">
        <f>IF(ChartTable[[#This Row],[Mudou?]]=1, IF(ChartTable[[#This Row],[Diferença]]&gt;0, "aumentou", "diminuiu"), "")</f>
        <v/>
      </c>
      <c r="I44" s="11" t="str" cm="1">
        <f t="array" ref="I44">_xlfn.IFS(ChartTable[[#This Row],[Exluido?]]=1,"Excluido",ChartTable[[#This Row],[Novo?]]=1, "Novo", ChartTable[[#This Row],[Mudou?]]=1, "Mudou")</f>
        <v>Novo</v>
      </c>
    </row>
    <row r="45" spans="1:9" x14ac:dyDescent="0.25">
      <c r="A45" t="s">
        <v>54</v>
      </c>
      <c r="B45" s="10">
        <v>226.63628933124883</v>
      </c>
      <c r="C45" s="10"/>
      <c r="D45" s="11">
        <f>IF(AND(ChartTable[[#This Row],[Valor Encerrado]]=0, ChartTable[[#This Row],[Valor Ativo]]=""), 1, 0)</f>
        <v>0</v>
      </c>
      <c r="E45" s="11">
        <f>IF(AND(ChartTable[[#This Row],[Valor Ativo]]&lt;&gt;"", ChartTable[[#This Row],[Valor Encerrado]]=""), 1, 0)</f>
        <v>1</v>
      </c>
      <c r="F45" s="11">
        <f>IF(AND(ChartTable[[#This Row],[Novo?]]=0, ChartTable[[#This Row],[Valor Ativo]]&lt;&gt;ChartTable[[#This Row],[Valor Encerrado]]), 1, 0)</f>
        <v>0</v>
      </c>
      <c r="G45" s="18" t="str">
        <f>IF(ChartTable[[#This Row],[Mudou?]]=1, ChartTable[[#This Row],[Valor Encerrado]]-ChartTable[[#This Row],[Valor Ativo]], "")</f>
        <v/>
      </c>
      <c r="H45" s="11" t="str">
        <f>IF(ChartTable[[#This Row],[Mudou?]]=1, IF(ChartTable[[#This Row],[Diferença]]&gt;0, "aumentou", "diminuiu"), "")</f>
        <v/>
      </c>
      <c r="I45" s="11" t="str" cm="1">
        <f t="array" ref="I45">_xlfn.IFS(ChartTable[[#This Row],[Exluido?]]=1,"Excluido",ChartTable[[#This Row],[Novo?]]=1, "Novo", ChartTable[[#This Row],[Mudou?]]=1, "Mudou")</f>
        <v>Novo</v>
      </c>
    </row>
    <row r="46" spans="1:9" x14ac:dyDescent="0.25">
      <c r="A46" t="s">
        <v>55</v>
      </c>
      <c r="B46" s="10">
        <v>125.90904962847156</v>
      </c>
      <c r="C46" s="10"/>
      <c r="D46" s="11">
        <f>IF(AND(ChartTable[[#This Row],[Valor Encerrado]]=0, ChartTable[[#This Row],[Valor Ativo]]=""), 1, 0)</f>
        <v>0</v>
      </c>
      <c r="E46" s="11">
        <f>IF(AND(ChartTable[[#This Row],[Valor Ativo]]&lt;&gt;"", ChartTable[[#This Row],[Valor Encerrado]]=""), 1, 0)</f>
        <v>1</v>
      </c>
      <c r="F46" s="11">
        <f>IF(AND(ChartTable[[#This Row],[Novo?]]=0, ChartTable[[#This Row],[Valor Ativo]]&lt;&gt;ChartTable[[#This Row],[Valor Encerrado]]), 1, 0)</f>
        <v>0</v>
      </c>
      <c r="G46" s="18" t="str">
        <f>IF(ChartTable[[#This Row],[Mudou?]]=1, ChartTable[[#This Row],[Valor Encerrado]]-ChartTable[[#This Row],[Valor Ativo]], "")</f>
        <v/>
      </c>
      <c r="H46" s="11" t="str">
        <f>IF(ChartTable[[#This Row],[Mudou?]]=1, IF(ChartTable[[#This Row],[Diferença]]&gt;0, "aumentou", "diminuiu"), "")</f>
        <v/>
      </c>
      <c r="I46" s="11" t="str" cm="1">
        <f t="array" ref="I46">_xlfn.IFS(ChartTable[[#This Row],[Exluido?]]=1,"Excluido",ChartTable[[#This Row],[Novo?]]=1, "Novo", ChartTable[[#This Row],[Mudou?]]=1, "Mudou")</f>
        <v>Novo</v>
      </c>
    </row>
    <row r="47" spans="1:9" x14ac:dyDescent="0.25">
      <c r="A47" t="s">
        <v>56</v>
      </c>
      <c r="B47" s="10">
        <v>69.949472015817534</v>
      </c>
      <c r="C47" s="10"/>
      <c r="D47" s="11">
        <f>IF(AND(ChartTable[[#This Row],[Valor Encerrado]]=0, ChartTable[[#This Row],[Valor Ativo]]=""), 1, 0)</f>
        <v>0</v>
      </c>
      <c r="E47" s="11">
        <f>IF(AND(ChartTable[[#This Row],[Valor Ativo]]&lt;&gt;"", ChartTable[[#This Row],[Valor Encerrado]]=""), 1, 0)</f>
        <v>1</v>
      </c>
      <c r="F47" s="11">
        <f>IF(AND(ChartTable[[#This Row],[Novo?]]=0, ChartTable[[#This Row],[Valor Ativo]]&lt;&gt;ChartTable[[#This Row],[Valor Encerrado]]), 1, 0)</f>
        <v>0</v>
      </c>
      <c r="G47" s="18" t="str">
        <f>IF(ChartTable[[#This Row],[Mudou?]]=1, ChartTable[[#This Row],[Valor Encerrado]]-ChartTable[[#This Row],[Valor Ativo]], "")</f>
        <v/>
      </c>
      <c r="H47" s="11" t="str">
        <f>IF(ChartTable[[#This Row],[Mudou?]]=1, IF(ChartTable[[#This Row],[Diferença]]&gt;0, "aumentou", "diminuiu"), "")</f>
        <v/>
      </c>
      <c r="I47" s="11" t="str" cm="1">
        <f t="array" ref="I47">_xlfn.IFS(ChartTable[[#This Row],[Exluido?]]=1,"Excluido",ChartTable[[#This Row],[Novo?]]=1, "Novo", ChartTable[[#This Row],[Mudou?]]=1, "Mudou")</f>
        <v>Novo</v>
      </c>
    </row>
    <row r="48" spans="1:9" x14ac:dyDescent="0.25">
      <c r="A48" t="s">
        <v>57</v>
      </c>
      <c r="B48" s="10">
        <v>38.860817786565299</v>
      </c>
      <c r="C48" s="10"/>
      <c r="D48" s="11">
        <f>IF(AND(ChartTable[[#This Row],[Valor Encerrado]]=0, ChartTable[[#This Row],[Valor Ativo]]=""), 1, 0)</f>
        <v>0</v>
      </c>
      <c r="E48" s="11">
        <f>IF(AND(ChartTable[[#This Row],[Valor Ativo]]&lt;&gt;"", ChartTable[[#This Row],[Valor Encerrado]]=""), 1, 0)</f>
        <v>1</v>
      </c>
      <c r="F48" s="11">
        <f>IF(AND(ChartTable[[#This Row],[Novo?]]=0, ChartTable[[#This Row],[Valor Ativo]]&lt;&gt;ChartTable[[#This Row],[Valor Encerrado]]), 1, 0)</f>
        <v>0</v>
      </c>
      <c r="G48" s="18" t="str">
        <f>IF(ChartTable[[#This Row],[Mudou?]]=1, ChartTable[[#This Row],[Valor Encerrado]]-ChartTable[[#This Row],[Valor Ativo]], "")</f>
        <v/>
      </c>
      <c r="H48" s="11" t="str">
        <f>IF(ChartTable[[#This Row],[Mudou?]]=1, IF(ChartTable[[#This Row],[Diferença]]&gt;0, "aumentou", "diminuiu"), "")</f>
        <v/>
      </c>
      <c r="I48" s="11" t="str" cm="1">
        <f t="array" ref="I48">_xlfn.IFS(ChartTable[[#This Row],[Exluido?]]=1,"Excluido",ChartTable[[#This Row],[Novo?]]=1, "Novo", ChartTable[[#This Row],[Mudou?]]=1, "Mudou")</f>
        <v>Novo</v>
      </c>
    </row>
    <row r="49" spans="1:9" x14ac:dyDescent="0.25">
      <c r="A49" t="s">
        <v>58</v>
      </c>
      <c r="B49" s="10">
        <v>21.5893432147585</v>
      </c>
      <c r="C49" s="10"/>
      <c r="D49" s="11">
        <f>IF(AND(ChartTable[[#This Row],[Valor Encerrado]]=0, ChartTable[[#This Row],[Valor Ativo]]=""), 1, 0)</f>
        <v>0</v>
      </c>
      <c r="E49" s="11">
        <f>IF(AND(ChartTable[[#This Row],[Valor Ativo]]&lt;&gt;"", ChartTable[[#This Row],[Valor Encerrado]]=""), 1, 0)</f>
        <v>1</v>
      </c>
      <c r="F49" s="11">
        <f>IF(AND(ChartTable[[#This Row],[Novo?]]=0, ChartTable[[#This Row],[Valor Ativo]]&lt;&gt;ChartTable[[#This Row],[Valor Encerrado]]), 1, 0)</f>
        <v>0</v>
      </c>
      <c r="G49" s="18" t="str">
        <f>IF(ChartTable[[#This Row],[Mudou?]]=1, ChartTable[[#This Row],[Valor Encerrado]]-ChartTable[[#This Row],[Valor Ativo]], "")</f>
        <v/>
      </c>
      <c r="H49" s="11" t="str">
        <f>IF(ChartTable[[#This Row],[Mudou?]]=1, IF(ChartTable[[#This Row],[Diferença]]&gt;0, "aumentou", "diminuiu"), "")</f>
        <v/>
      </c>
      <c r="I49" s="11" t="str" cm="1">
        <f t="array" ref="I49">_xlfn.IFS(ChartTable[[#This Row],[Exluido?]]=1,"Excluido",ChartTable[[#This Row],[Novo?]]=1, "Novo", ChartTable[[#This Row],[Mudou?]]=1, "Mudou")</f>
        <v>Novo</v>
      </c>
    </row>
    <row r="50" spans="1:9" x14ac:dyDescent="0.25">
      <c r="A50" t="s">
        <v>59</v>
      </c>
      <c r="B50" s="10">
        <v>11.994079563754722</v>
      </c>
      <c r="C50" s="10"/>
      <c r="D50" s="11">
        <f>IF(AND(ChartTable[[#This Row],[Valor Encerrado]]=0, ChartTable[[#This Row],[Valor Ativo]]=""), 1, 0)</f>
        <v>0</v>
      </c>
      <c r="E50" s="11">
        <f>IF(AND(ChartTable[[#This Row],[Valor Ativo]]&lt;&gt;"", ChartTable[[#This Row],[Valor Encerrado]]=""), 1, 0)</f>
        <v>1</v>
      </c>
      <c r="F50" s="11">
        <f>IF(AND(ChartTable[[#This Row],[Novo?]]=0, ChartTable[[#This Row],[Valor Ativo]]&lt;&gt;ChartTable[[#This Row],[Valor Encerrado]]), 1, 0)</f>
        <v>0</v>
      </c>
      <c r="G50" s="18" t="str">
        <f>IF(ChartTable[[#This Row],[Mudou?]]=1, ChartTable[[#This Row],[Valor Encerrado]]-ChartTable[[#This Row],[Valor Ativo]], "")</f>
        <v/>
      </c>
      <c r="H50" s="11" t="str">
        <f>IF(ChartTable[[#This Row],[Mudou?]]=1, IF(ChartTable[[#This Row],[Diferença]]&gt;0, "aumentou", "diminuiu"), "")</f>
        <v/>
      </c>
      <c r="I50" s="11" t="str" cm="1">
        <f t="array" ref="I50">_xlfn.IFS(ChartTable[[#This Row],[Exluido?]]=1,"Excluido",ChartTable[[#This Row],[Novo?]]=1, "Novo", ChartTable[[#This Row],[Mudou?]]=1, "Mudou")</f>
        <v>Novo</v>
      </c>
    </row>
    <row r="51" spans="1:9" x14ac:dyDescent="0.25">
      <c r="A51" t="s">
        <v>60</v>
      </c>
      <c r="B51" s="10">
        <v>119.94079563754723</v>
      </c>
      <c r="C51" s="10"/>
      <c r="D51" s="11">
        <f>IF(AND(ChartTable[[#This Row],[Valor Encerrado]]=0, ChartTable[[#This Row],[Valor Ativo]]=""), 1, 0)</f>
        <v>0</v>
      </c>
      <c r="E51" s="11">
        <f>IF(AND(ChartTable[[#This Row],[Valor Ativo]]&lt;&gt;"", ChartTable[[#This Row],[Valor Encerrado]]=""), 1, 0)</f>
        <v>1</v>
      </c>
      <c r="F51" s="11">
        <f>IF(AND(ChartTable[[#This Row],[Novo?]]=0, ChartTable[[#This Row],[Valor Ativo]]&lt;&gt;ChartTable[[#This Row],[Valor Encerrado]]), 1, 0)</f>
        <v>0</v>
      </c>
      <c r="G51" s="18" t="str">
        <f>IF(ChartTable[[#This Row],[Mudou?]]=1, ChartTable[[#This Row],[Valor Encerrado]]-ChartTable[[#This Row],[Valor Ativo]], "")</f>
        <v/>
      </c>
      <c r="H51" s="11" t="str">
        <f>IF(ChartTable[[#This Row],[Mudou?]]=1, IF(ChartTable[[#This Row],[Diferença]]&gt;0, "aumentou", "diminuiu"), "")</f>
        <v/>
      </c>
      <c r="I51" s="11" t="str" cm="1">
        <f t="array" ref="I51">_xlfn.IFS(ChartTable[[#This Row],[Exluido?]]=1,"Excluido",ChartTable[[#This Row],[Novo?]]=1, "Novo", ChartTable[[#This Row],[Mudou?]]=1, "Mudou")</f>
        <v>Novo</v>
      </c>
    </row>
    <row r="52" spans="1:9" x14ac:dyDescent="0.25">
      <c r="A52" t="s">
        <v>61</v>
      </c>
      <c r="B52" s="10">
        <v>1199.4079563754722</v>
      </c>
      <c r="C52" s="10"/>
      <c r="D52" s="11">
        <f>IF(AND(ChartTable[[#This Row],[Valor Encerrado]]=0, ChartTable[[#This Row],[Valor Ativo]]=""), 1, 0)</f>
        <v>0</v>
      </c>
      <c r="E52" s="11">
        <f>IF(AND(ChartTable[[#This Row],[Valor Ativo]]&lt;&gt;"", ChartTable[[#This Row],[Valor Encerrado]]=""), 1, 0)</f>
        <v>1</v>
      </c>
      <c r="F52" s="11">
        <f>IF(AND(ChartTable[[#This Row],[Novo?]]=0, ChartTable[[#This Row],[Valor Ativo]]&lt;&gt;ChartTable[[#This Row],[Valor Encerrado]]), 1, 0)</f>
        <v>0</v>
      </c>
      <c r="G52" s="18" t="str">
        <f>IF(ChartTable[[#This Row],[Mudou?]]=1, ChartTable[[#This Row],[Valor Encerrado]]-ChartTable[[#This Row],[Valor Ativo]], "")</f>
        <v/>
      </c>
      <c r="H52" s="11" t="str">
        <f>IF(ChartTable[[#This Row],[Mudou?]]=1, IF(ChartTable[[#This Row],[Diferença]]&gt;0, "aumentou", "diminuiu"), "")</f>
        <v/>
      </c>
      <c r="I52" s="11" t="str" cm="1">
        <f t="array" ref="I52">_xlfn.IFS(ChartTable[[#This Row],[Exluido?]]=1,"Excluido",ChartTable[[#This Row],[Novo?]]=1, "Novo", ChartTable[[#This Row],[Mudou?]]=1, "Mudou")</f>
        <v>Novo</v>
      </c>
    </row>
    <row r="53" spans="1:9" x14ac:dyDescent="0.25">
      <c r="A53" t="s">
        <v>62</v>
      </c>
      <c r="B53" s="10">
        <v>11994.079563754722</v>
      </c>
      <c r="C53" s="10"/>
      <c r="D53" s="11">
        <f>IF(AND(ChartTable[[#This Row],[Valor Encerrado]]=0, ChartTable[[#This Row],[Valor Ativo]]=""), 1, 0)</f>
        <v>0</v>
      </c>
      <c r="E53" s="11">
        <f>IF(AND(ChartTable[[#This Row],[Valor Ativo]]&lt;&gt;"", ChartTable[[#This Row],[Valor Encerrado]]=""), 1, 0)</f>
        <v>1</v>
      </c>
      <c r="F53" s="11">
        <f>IF(AND(ChartTable[[#This Row],[Novo?]]=0, ChartTable[[#This Row],[Valor Ativo]]&lt;&gt;ChartTable[[#This Row],[Valor Encerrado]]), 1, 0)</f>
        <v>0</v>
      </c>
      <c r="G53" s="18" t="str">
        <f>IF(ChartTable[[#This Row],[Mudou?]]=1, ChartTable[[#This Row],[Valor Encerrado]]-ChartTable[[#This Row],[Valor Ativo]], "")</f>
        <v/>
      </c>
      <c r="H53" s="11" t="str">
        <f>IF(ChartTable[[#This Row],[Mudou?]]=1, IF(ChartTable[[#This Row],[Diferença]]&gt;0, "aumentou", "diminuiu"), "")</f>
        <v/>
      </c>
      <c r="I53" s="11" t="str" cm="1">
        <f t="array" ref="I53">_xlfn.IFS(ChartTable[[#This Row],[Exluido?]]=1,"Excluido",ChartTable[[#This Row],[Novo?]]=1, "Novo", ChartTable[[#This Row],[Mudou?]]=1, "Mudou")</f>
        <v>Novo</v>
      </c>
    </row>
    <row r="54" spans="1:9" x14ac:dyDescent="0.25">
      <c r="A54" t="s">
        <v>63</v>
      </c>
      <c r="B54" s="10">
        <v>11994.079563754722</v>
      </c>
      <c r="C54" s="10"/>
      <c r="D54" s="11">
        <f>IF(AND(ChartTable[[#This Row],[Valor Encerrado]]=0, ChartTable[[#This Row],[Valor Ativo]]=""), 1, 0)</f>
        <v>0</v>
      </c>
      <c r="E54" s="11">
        <f>IF(AND(ChartTable[[#This Row],[Valor Ativo]]&lt;&gt;"", ChartTable[[#This Row],[Valor Encerrado]]=""), 1, 0)</f>
        <v>1</v>
      </c>
      <c r="F54" s="11">
        <f>IF(AND(ChartTable[[#This Row],[Novo?]]=0, ChartTable[[#This Row],[Valor Ativo]]&lt;&gt;ChartTable[[#This Row],[Valor Encerrado]]), 1, 0)</f>
        <v>0</v>
      </c>
      <c r="G54" s="18" t="str">
        <f>IF(ChartTable[[#This Row],[Mudou?]]=1, ChartTable[[#This Row],[Valor Encerrado]]-ChartTable[[#This Row],[Valor Ativo]], "")</f>
        <v/>
      </c>
      <c r="H54" s="11" t="str">
        <f>IF(ChartTable[[#This Row],[Mudou?]]=1, IF(ChartTable[[#This Row],[Diferença]]&gt;0, "aumentou", "diminuiu"), "")</f>
        <v/>
      </c>
      <c r="I54" s="11" t="str" cm="1">
        <f t="array" ref="I54">_xlfn.IFS(ChartTable[[#This Row],[Exluido?]]=1,"Excluido",ChartTable[[#This Row],[Novo?]]=1, "Novo", ChartTable[[#This Row],[Mudou?]]=1, "Mudou")</f>
        <v>Novo</v>
      </c>
    </row>
    <row r="55" spans="1:9" x14ac:dyDescent="0.25">
      <c r="A55" t="s">
        <v>64</v>
      </c>
      <c r="B55" s="10">
        <v>11994.079563754722</v>
      </c>
      <c r="C55" s="10"/>
      <c r="D55" s="11">
        <f>IF(AND(ChartTable[[#This Row],[Valor Encerrado]]=0, ChartTable[[#This Row],[Valor Ativo]]=""), 1, 0)</f>
        <v>0</v>
      </c>
      <c r="E55" s="11">
        <f>IF(AND(ChartTable[[#This Row],[Valor Ativo]]&lt;&gt;"", ChartTable[[#This Row],[Valor Encerrado]]=""), 1, 0)</f>
        <v>1</v>
      </c>
      <c r="F55" s="11">
        <f>IF(AND(ChartTable[[#This Row],[Novo?]]=0, ChartTable[[#This Row],[Valor Ativo]]&lt;&gt;ChartTable[[#This Row],[Valor Encerrado]]), 1, 0)</f>
        <v>0</v>
      </c>
      <c r="G55" s="18" t="str">
        <f>IF(ChartTable[[#This Row],[Mudou?]]=1, ChartTable[[#This Row],[Valor Encerrado]]-ChartTable[[#This Row],[Valor Ativo]], "")</f>
        <v/>
      </c>
      <c r="H55" s="11" t="str">
        <f>IF(ChartTable[[#This Row],[Mudou?]]=1, IF(ChartTable[[#This Row],[Diferença]]&gt;0, "aumentou", "diminuiu"), "")</f>
        <v/>
      </c>
      <c r="I55" s="11" t="str" cm="1">
        <f t="array" ref="I55">_xlfn.IFS(ChartTable[[#This Row],[Exluido?]]=1,"Excluido",ChartTable[[#This Row],[Novo?]]=1, "Novo", ChartTable[[#This Row],[Mudou?]]=1, "Mudou")</f>
        <v>Novo</v>
      </c>
    </row>
    <row r="56" spans="1:9" x14ac:dyDescent="0.25">
      <c r="A56" t="s">
        <v>65</v>
      </c>
      <c r="B56" s="10">
        <v>11994.079563754722</v>
      </c>
      <c r="C56" s="10"/>
      <c r="D56" s="11">
        <f>IF(AND(ChartTable[[#This Row],[Valor Encerrado]]=0, ChartTable[[#This Row],[Valor Ativo]]=""), 1, 0)</f>
        <v>0</v>
      </c>
      <c r="E56" s="11">
        <f>IF(AND(ChartTable[[#This Row],[Valor Ativo]]&lt;&gt;"", ChartTable[[#This Row],[Valor Encerrado]]=""), 1, 0)</f>
        <v>1</v>
      </c>
      <c r="F56" s="11">
        <f>IF(AND(ChartTable[[#This Row],[Novo?]]=0, ChartTable[[#This Row],[Valor Ativo]]&lt;&gt;ChartTable[[#This Row],[Valor Encerrado]]), 1, 0)</f>
        <v>0</v>
      </c>
      <c r="G56" s="18" t="str">
        <f>IF(ChartTable[[#This Row],[Mudou?]]=1, ChartTable[[#This Row],[Valor Encerrado]]-ChartTable[[#This Row],[Valor Ativo]], "")</f>
        <v/>
      </c>
      <c r="H56" s="11" t="str">
        <f>IF(ChartTable[[#This Row],[Mudou?]]=1, IF(ChartTable[[#This Row],[Diferença]]&gt;0, "aumentou", "diminuiu"), "")</f>
        <v/>
      </c>
      <c r="I56" s="11" t="str" cm="1">
        <f t="array" ref="I56">_xlfn.IFS(ChartTable[[#This Row],[Exluido?]]=1,"Excluido",ChartTable[[#This Row],[Novo?]]=1, "Novo", ChartTable[[#This Row],[Mudou?]]=1, "Mudou")</f>
        <v>Novo</v>
      </c>
    </row>
    <row r="57" spans="1:9" x14ac:dyDescent="0.25">
      <c r="A57" t="s">
        <v>66</v>
      </c>
      <c r="B57" s="10">
        <v>11994.079563754722</v>
      </c>
      <c r="C57" s="10"/>
      <c r="D57" s="11">
        <f>IF(AND(ChartTable[[#This Row],[Valor Encerrado]]=0, ChartTable[[#This Row],[Valor Ativo]]=""), 1, 0)</f>
        <v>0</v>
      </c>
      <c r="E57" s="11">
        <f>IF(AND(ChartTable[[#This Row],[Valor Ativo]]&lt;&gt;"", ChartTable[[#This Row],[Valor Encerrado]]=""), 1, 0)</f>
        <v>1</v>
      </c>
      <c r="F57" s="11">
        <f>IF(AND(ChartTable[[#This Row],[Novo?]]=0, ChartTable[[#This Row],[Valor Ativo]]&lt;&gt;ChartTable[[#This Row],[Valor Encerrado]]), 1, 0)</f>
        <v>0</v>
      </c>
      <c r="G57" s="18" t="str">
        <f>IF(ChartTable[[#This Row],[Mudou?]]=1, ChartTable[[#This Row],[Valor Encerrado]]-ChartTable[[#This Row],[Valor Ativo]], "")</f>
        <v/>
      </c>
      <c r="H57" s="11" t="str">
        <f>IF(ChartTable[[#This Row],[Mudou?]]=1, IF(ChartTable[[#This Row],[Diferença]]&gt;0, "aumentou", "diminuiu"), "")</f>
        <v/>
      </c>
      <c r="I57" s="11" t="str" cm="1">
        <f t="array" ref="I57">_xlfn.IFS(ChartTable[[#This Row],[Exluido?]]=1,"Excluido",ChartTable[[#This Row],[Novo?]]=1, "Novo", ChartTable[[#This Row],[Mudou?]]=1, "Mudou")</f>
        <v>Novo</v>
      </c>
    </row>
    <row r="58" spans="1:9" x14ac:dyDescent="0.25">
      <c r="A58" t="s">
        <v>67</v>
      </c>
      <c r="B58" s="10">
        <v>11994.079563754722</v>
      </c>
      <c r="C58" s="10"/>
      <c r="D58" s="11">
        <f>IF(AND(ChartTable[[#This Row],[Valor Encerrado]]=0, ChartTable[[#This Row],[Valor Ativo]]=""), 1, 0)</f>
        <v>0</v>
      </c>
      <c r="E58" s="11">
        <f>IF(AND(ChartTable[[#This Row],[Valor Ativo]]&lt;&gt;"", ChartTable[[#This Row],[Valor Encerrado]]=""), 1, 0)</f>
        <v>1</v>
      </c>
      <c r="F58" s="11">
        <f>IF(AND(ChartTable[[#This Row],[Novo?]]=0, ChartTable[[#This Row],[Valor Ativo]]&lt;&gt;ChartTable[[#This Row],[Valor Encerrado]]), 1, 0)</f>
        <v>0</v>
      </c>
      <c r="G58" s="18" t="str">
        <f>IF(ChartTable[[#This Row],[Mudou?]]=1, ChartTable[[#This Row],[Valor Encerrado]]-ChartTable[[#This Row],[Valor Ativo]], "")</f>
        <v/>
      </c>
      <c r="H58" s="11" t="str">
        <f>IF(ChartTable[[#This Row],[Mudou?]]=1, IF(ChartTable[[#This Row],[Diferença]]&gt;0, "aumentou", "diminuiu"), "")</f>
        <v/>
      </c>
      <c r="I58" s="11" t="str" cm="1">
        <f t="array" ref="I58">_xlfn.IFS(ChartTable[[#This Row],[Exluido?]]=1,"Excluido",ChartTable[[#This Row],[Novo?]]=1, "Novo", ChartTable[[#This Row],[Mudou?]]=1, "Mudou")</f>
        <v>Novo</v>
      </c>
    </row>
    <row r="59" spans="1:9" x14ac:dyDescent="0.25">
      <c r="A59" t="s">
        <v>68</v>
      </c>
      <c r="B59" s="10">
        <v>11994.079563754722</v>
      </c>
      <c r="C59" s="10"/>
      <c r="D59" s="11">
        <f>IF(AND(ChartTable[[#This Row],[Valor Encerrado]]=0, ChartTable[[#This Row],[Valor Ativo]]=""), 1, 0)</f>
        <v>0</v>
      </c>
      <c r="E59" s="11">
        <f>IF(AND(ChartTable[[#This Row],[Valor Ativo]]&lt;&gt;"", ChartTable[[#This Row],[Valor Encerrado]]=""), 1, 0)</f>
        <v>1</v>
      </c>
      <c r="F59" s="11">
        <f>IF(AND(ChartTable[[#This Row],[Novo?]]=0, ChartTable[[#This Row],[Valor Ativo]]&lt;&gt;ChartTable[[#This Row],[Valor Encerrado]]), 1, 0)</f>
        <v>0</v>
      </c>
      <c r="G59" s="18" t="str">
        <f>IF(ChartTable[[#This Row],[Mudou?]]=1, ChartTable[[#This Row],[Valor Encerrado]]-ChartTable[[#This Row],[Valor Ativo]], "")</f>
        <v/>
      </c>
      <c r="H59" s="11" t="str">
        <f>IF(ChartTable[[#This Row],[Mudou?]]=1, IF(ChartTable[[#This Row],[Diferença]]&gt;0, "aumentou", "diminuiu"), "")</f>
        <v/>
      </c>
      <c r="I59" s="11" t="str" cm="1">
        <f t="array" ref="I59">_xlfn.IFS(ChartTable[[#This Row],[Exluido?]]=1,"Excluido",ChartTable[[#This Row],[Novo?]]=1, "Novo", ChartTable[[#This Row],[Mudou?]]=1, "Mudou")</f>
        <v>Novo</v>
      </c>
    </row>
    <row r="60" spans="1:9" x14ac:dyDescent="0.25">
      <c r="A60" t="s">
        <v>69</v>
      </c>
      <c r="B60" s="10">
        <v>11994.079563754722</v>
      </c>
      <c r="C60" s="10"/>
      <c r="D60" s="11">
        <f>IF(AND(ChartTable[[#This Row],[Valor Encerrado]]=0, ChartTable[[#This Row],[Valor Ativo]]=""), 1, 0)</f>
        <v>0</v>
      </c>
      <c r="E60" s="11">
        <f>IF(AND(ChartTable[[#This Row],[Valor Ativo]]&lt;&gt;"", ChartTable[[#This Row],[Valor Encerrado]]=""), 1, 0)</f>
        <v>1</v>
      </c>
      <c r="F60" s="11">
        <f>IF(AND(ChartTable[[#This Row],[Novo?]]=0, ChartTable[[#This Row],[Valor Ativo]]&lt;&gt;ChartTable[[#This Row],[Valor Encerrado]]), 1, 0)</f>
        <v>0</v>
      </c>
      <c r="G60" s="18" t="str">
        <f>IF(ChartTable[[#This Row],[Mudou?]]=1, ChartTable[[#This Row],[Valor Encerrado]]-ChartTable[[#This Row],[Valor Ativo]], "")</f>
        <v/>
      </c>
      <c r="H60" s="11" t="str">
        <f>IF(ChartTable[[#This Row],[Mudou?]]=1, IF(ChartTable[[#This Row],[Diferença]]&gt;0, "aumentou", "diminuiu"), "")</f>
        <v/>
      </c>
      <c r="I60" s="11" t="str" cm="1">
        <f t="array" ref="I60">_xlfn.IFS(ChartTable[[#This Row],[Exluido?]]=1,"Excluido",ChartTable[[#This Row],[Novo?]]=1, "Novo", ChartTable[[#This Row],[Mudou?]]=1, "Mudou")</f>
        <v>Novo</v>
      </c>
    </row>
    <row r="61" spans="1:9" x14ac:dyDescent="0.25">
      <c r="A61" t="s">
        <v>70</v>
      </c>
      <c r="B61" s="10">
        <v>11994.079563754722</v>
      </c>
      <c r="C61" s="10"/>
      <c r="D61" s="11">
        <f>IF(AND(ChartTable[[#This Row],[Valor Encerrado]]=0, ChartTable[[#This Row],[Valor Ativo]]=""), 1, 0)</f>
        <v>0</v>
      </c>
      <c r="E61" s="11">
        <f>IF(AND(ChartTable[[#This Row],[Valor Ativo]]&lt;&gt;"", ChartTable[[#This Row],[Valor Encerrado]]=""), 1, 0)</f>
        <v>1</v>
      </c>
      <c r="F61" s="11">
        <f>IF(AND(ChartTable[[#This Row],[Novo?]]=0, ChartTable[[#This Row],[Valor Ativo]]&lt;&gt;ChartTable[[#This Row],[Valor Encerrado]]), 1, 0)</f>
        <v>0</v>
      </c>
      <c r="G61" s="18" t="str">
        <f>IF(ChartTable[[#This Row],[Mudou?]]=1, ChartTable[[#This Row],[Valor Encerrado]]-ChartTable[[#This Row],[Valor Ativo]], "")</f>
        <v/>
      </c>
      <c r="H61" s="11" t="str">
        <f>IF(ChartTable[[#This Row],[Mudou?]]=1, IF(ChartTable[[#This Row],[Diferença]]&gt;0, "aumentou", "diminuiu"), "")</f>
        <v/>
      </c>
      <c r="I61" s="11" t="str" cm="1">
        <f t="array" ref="I61">_xlfn.IFS(ChartTable[[#This Row],[Exluido?]]=1,"Excluido",ChartTable[[#This Row],[Novo?]]=1, "Novo", ChartTable[[#This Row],[Mudou?]]=1, "Mudou")</f>
        <v>Novo</v>
      </c>
    </row>
    <row r="62" spans="1:9" x14ac:dyDescent="0.25">
      <c r="A62" t="s">
        <v>71</v>
      </c>
      <c r="B62" s="10">
        <v>11994.079563754722</v>
      </c>
      <c r="C62" s="10"/>
      <c r="D62" s="11">
        <f>IF(AND(ChartTable[[#This Row],[Valor Encerrado]]=0, ChartTable[[#This Row],[Valor Ativo]]=""), 1, 0)</f>
        <v>0</v>
      </c>
      <c r="E62" s="11">
        <f>IF(AND(ChartTable[[#This Row],[Valor Ativo]]&lt;&gt;"", ChartTable[[#This Row],[Valor Encerrado]]=""), 1, 0)</f>
        <v>1</v>
      </c>
      <c r="F62" s="11">
        <f>IF(AND(ChartTable[[#This Row],[Novo?]]=0, ChartTable[[#This Row],[Valor Ativo]]&lt;&gt;ChartTable[[#This Row],[Valor Encerrado]]), 1, 0)</f>
        <v>0</v>
      </c>
      <c r="G62" s="18" t="str">
        <f>IF(ChartTable[[#This Row],[Mudou?]]=1, ChartTable[[#This Row],[Valor Encerrado]]-ChartTable[[#This Row],[Valor Ativo]], "")</f>
        <v/>
      </c>
      <c r="H62" s="11" t="str">
        <f>IF(ChartTable[[#This Row],[Mudou?]]=1, IF(ChartTable[[#This Row],[Diferença]]&gt;0, "aumentou", "diminuiu"), "")</f>
        <v/>
      </c>
      <c r="I62" s="11" t="str" cm="1">
        <f t="array" ref="I62">_xlfn.IFS(ChartTable[[#This Row],[Exluido?]]=1,"Excluido",ChartTable[[#This Row],[Novo?]]=1, "Novo", ChartTable[[#This Row],[Mudou?]]=1, "Mudou")</f>
        <v>Novo</v>
      </c>
    </row>
    <row r="63" spans="1:9" x14ac:dyDescent="0.25">
      <c r="A63" t="s">
        <v>72</v>
      </c>
      <c r="B63" s="10">
        <v>11994.079563754722</v>
      </c>
      <c r="C63" s="10"/>
      <c r="D63" s="11">
        <f>IF(AND(ChartTable[[#This Row],[Valor Encerrado]]=0, ChartTable[[#This Row],[Valor Ativo]]=""), 1, 0)</f>
        <v>0</v>
      </c>
      <c r="E63" s="11">
        <f>IF(AND(ChartTable[[#This Row],[Valor Ativo]]&lt;&gt;"", ChartTable[[#This Row],[Valor Encerrado]]=""), 1, 0)</f>
        <v>1</v>
      </c>
      <c r="F63" s="11">
        <f>IF(AND(ChartTable[[#This Row],[Novo?]]=0, ChartTable[[#This Row],[Valor Ativo]]&lt;&gt;ChartTable[[#This Row],[Valor Encerrado]]), 1, 0)</f>
        <v>0</v>
      </c>
      <c r="G63" s="18" t="str">
        <f>IF(ChartTable[[#This Row],[Mudou?]]=1, ChartTable[[#This Row],[Valor Encerrado]]-ChartTable[[#This Row],[Valor Ativo]], "")</f>
        <v/>
      </c>
      <c r="H63" s="11" t="str">
        <f>IF(ChartTable[[#This Row],[Mudou?]]=1, IF(ChartTable[[#This Row],[Diferença]]&gt;0, "aumentou", "diminuiu"), "")</f>
        <v/>
      </c>
      <c r="I63" s="11" t="str" cm="1">
        <f t="array" ref="I63">_xlfn.IFS(ChartTable[[#This Row],[Exluido?]]=1,"Excluido",ChartTable[[#This Row],[Novo?]]=1, "Novo", ChartTable[[#This Row],[Mudou?]]=1, "Mudou")</f>
        <v>Novo</v>
      </c>
    </row>
    <row r="64" spans="1:9" x14ac:dyDescent="0.25">
      <c r="A64" t="s">
        <v>73</v>
      </c>
      <c r="B64" s="10">
        <v>11994.079563754722</v>
      </c>
      <c r="C64" s="10"/>
      <c r="D64" s="11">
        <f>IF(AND(ChartTable[[#This Row],[Valor Encerrado]]=0, ChartTable[[#This Row],[Valor Ativo]]=""), 1, 0)</f>
        <v>0</v>
      </c>
      <c r="E64" s="11">
        <f>IF(AND(ChartTable[[#This Row],[Valor Ativo]]&lt;&gt;"", ChartTable[[#This Row],[Valor Encerrado]]=""), 1, 0)</f>
        <v>1</v>
      </c>
      <c r="F64" s="11">
        <f>IF(AND(ChartTable[[#This Row],[Novo?]]=0, ChartTable[[#This Row],[Valor Ativo]]&lt;&gt;ChartTable[[#This Row],[Valor Encerrado]]), 1, 0)</f>
        <v>0</v>
      </c>
      <c r="G64" s="18" t="str">
        <f>IF(ChartTable[[#This Row],[Mudou?]]=1, ChartTable[[#This Row],[Valor Encerrado]]-ChartTable[[#This Row],[Valor Ativo]], "")</f>
        <v/>
      </c>
      <c r="H64" s="11" t="str">
        <f>IF(ChartTable[[#This Row],[Mudou?]]=1, IF(ChartTable[[#This Row],[Diferença]]&gt;0, "aumentou", "diminuiu"), "")</f>
        <v/>
      </c>
      <c r="I64" s="11" t="str" cm="1">
        <f t="array" ref="I64">_xlfn.IFS(ChartTable[[#This Row],[Exluido?]]=1,"Excluido",ChartTable[[#This Row],[Novo?]]=1, "Novo", ChartTable[[#This Row],[Mudou?]]=1, "Mudou")</f>
        <v>Novo</v>
      </c>
    </row>
    <row r="65" spans="1:9" x14ac:dyDescent="0.25">
      <c r="A65" t="s">
        <v>74</v>
      </c>
      <c r="B65" s="10">
        <v>11994.079563754722</v>
      </c>
      <c r="C65" s="10"/>
      <c r="D65" s="11">
        <f>IF(AND(ChartTable[[#This Row],[Valor Encerrado]]=0, ChartTable[[#This Row],[Valor Ativo]]=""), 1, 0)</f>
        <v>0</v>
      </c>
      <c r="E65" s="11">
        <f>IF(AND(ChartTable[[#This Row],[Valor Ativo]]&lt;&gt;"", ChartTable[[#This Row],[Valor Encerrado]]=""), 1, 0)</f>
        <v>1</v>
      </c>
      <c r="F65" s="11">
        <f>IF(AND(ChartTable[[#This Row],[Novo?]]=0, ChartTable[[#This Row],[Valor Ativo]]&lt;&gt;ChartTable[[#This Row],[Valor Encerrado]]), 1, 0)</f>
        <v>0</v>
      </c>
      <c r="G65" s="18" t="str">
        <f>IF(ChartTable[[#This Row],[Mudou?]]=1, ChartTable[[#This Row],[Valor Encerrado]]-ChartTable[[#This Row],[Valor Ativo]], "")</f>
        <v/>
      </c>
      <c r="H65" s="11" t="str">
        <f>IF(ChartTable[[#This Row],[Mudou?]]=1, IF(ChartTable[[#This Row],[Diferença]]&gt;0, "aumentou", "diminuiu"), "")</f>
        <v/>
      </c>
      <c r="I65" s="11" t="str" cm="1">
        <f t="array" ref="I65">_xlfn.IFS(ChartTable[[#This Row],[Exluido?]]=1,"Excluido",ChartTable[[#This Row],[Novo?]]=1, "Novo", ChartTable[[#This Row],[Mudou?]]=1, "Mudou")</f>
        <v>Novo</v>
      </c>
    </row>
    <row r="66" spans="1:9" x14ac:dyDescent="0.25">
      <c r="A66" t="s">
        <v>75</v>
      </c>
      <c r="B66" s="10">
        <v>11994.079563754722</v>
      </c>
      <c r="C66" s="10"/>
      <c r="D66" s="11">
        <f>IF(AND(ChartTable[[#This Row],[Valor Encerrado]]=0, ChartTable[[#This Row],[Valor Ativo]]=""), 1, 0)</f>
        <v>0</v>
      </c>
      <c r="E66" s="11">
        <f>IF(AND(ChartTable[[#This Row],[Valor Ativo]]&lt;&gt;"", ChartTable[[#This Row],[Valor Encerrado]]=""), 1, 0)</f>
        <v>1</v>
      </c>
      <c r="F66" s="11">
        <f>IF(AND(ChartTable[[#This Row],[Novo?]]=0, ChartTable[[#This Row],[Valor Ativo]]&lt;&gt;ChartTable[[#This Row],[Valor Encerrado]]), 1, 0)</f>
        <v>0</v>
      </c>
      <c r="G66" s="18" t="str">
        <f>IF(ChartTable[[#This Row],[Mudou?]]=1, ChartTable[[#This Row],[Valor Encerrado]]-ChartTable[[#This Row],[Valor Ativo]], "")</f>
        <v/>
      </c>
      <c r="H66" s="11" t="str">
        <f>IF(ChartTable[[#This Row],[Mudou?]]=1, IF(ChartTable[[#This Row],[Diferença]]&gt;0, "aumentou", "diminuiu"), "")</f>
        <v/>
      </c>
      <c r="I66" s="11" t="str" cm="1">
        <f t="array" ref="I66">_xlfn.IFS(ChartTable[[#This Row],[Exluido?]]=1,"Excluido",ChartTable[[#This Row],[Novo?]]=1, "Novo", ChartTable[[#This Row],[Mudou?]]=1, "Mudou")</f>
        <v>Novo</v>
      </c>
    </row>
    <row r="67" spans="1:9" x14ac:dyDescent="0.25">
      <c r="A67" t="s">
        <v>76</v>
      </c>
      <c r="B67" s="10">
        <v>11994.079563754722</v>
      </c>
      <c r="C67" s="10"/>
      <c r="D67" s="11">
        <f>IF(AND(ChartTable[[#This Row],[Valor Encerrado]]=0, ChartTable[[#This Row],[Valor Ativo]]=""), 1, 0)</f>
        <v>0</v>
      </c>
      <c r="E67" s="11">
        <f>IF(AND(ChartTable[[#This Row],[Valor Ativo]]&lt;&gt;"", ChartTable[[#This Row],[Valor Encerrado]]=""), 1, 0)</f>
        <v>1</v>
      </c>
      <c r="F67" s="11">
        <f>IF(AND(ChartTable[[#This Row],[Novo?]]=0, ChartTable[[#This Row],[Valor Ativo]]&lt;&gt;ChartTable[[#This Row],[Valor Encerrado]]), 1, 0)</f>
        <v>0</v>
      </c>
      <c r="G67" s="18" t="str">
        <f>IF(ChartTable[[#This Row],[Mudou?]]=1, ChartTable[[#This Row],[Valor Encerrado]]-ChartTable[[#This Row],[Valor Ativo]], "")</f>
        <v/>
      </c>
      <c r="H67" s="11" t="str">
        <f>IF(ChartTable[[#This Row],[Mudou?]]=1, IF(ChartTable[[#This Row],[Diferença]]&gt;0, "aumentou", "diminuiu"), "")</f>
        <v/>
      </c>
      <c r="I67" s="11" t="str" cm="1">
        <f t="array" ref="I67">_xlfn.IFS(ChartTable[[#This Row],[Exluido?]]=1,"Excluido",ChartTable[[#This Row],[Novo?]]=1, "Novo", ChartTable[[#This Row],[Mudou?]]=1, "Mudou")</f>
        <v>Novo</v>
      </c>
    </row>
    <row r="68" spans="1:9" x14ac:dyDescent="0.25">
      <c r="A68" t="s">
        <v>77</v>
      </c>
      <c r="B68" s="10">
        <v>11994.079563754722</v>
      </c>
      <c r="C68" s="10"/>
      <c r="D68" s="11">
        <f>IF(AND(ChartTable[[#This Row],[Valor Encerrado]]=0, ChartTable[[#This Row],[Valor Ativo]]=""), 1, 0)</f>
        <v>0</v>
      </c>
      <c r="E68" s="11">
        <f>IF(AND(ChartTable[[#This Row],[Valor Ativo]]&lt;&gt;"", ChartTable[[#This Row],[Valor Encerrado]]=""), 1, 0)</f>
        <v>1</v>
      </c>
      <c r="F68" s="11">
        <f>IF(AND(ChartTable[[#This Row],[Novo?]]=0, ChartTable[[#This Row],[Valor Ativo]]&lt;&gt;ChartTable[[#This Row],[Valor Encerrado]]), 1, 0)</f>
        <v>0</v>
      </c>
      <c r="G68" s="18" t="str">
        <f>IF(ChartTable[[#This Row],[Mudou?]]=1, ChartTable[[#This Row],[Valor Encerrado]]-ChartTable[[#This Row],[Valor Ativo]], "")</f>
        <v/>
      </c>
      <c r="H68" s="11" t="str">
        <f>IF(ChartTable[[#This Row],[Mudou?]]=1, IF(ChartTable[[#This Row],[Diferença]]&gt;0, "aumentou", "diminuiu"), "")</f>
        <v/>
      </c>
      <c r="I68" s="11" t="str" cm="1">
        <f t="array" ref="I68">_xlfn.IFS(ChartTable[[#This Row],[Exluido?]]=1,"Excluido",ChartTable[[#This Row],[Novo?]]=1, "Novo", ChartTable[[#This Row],[Mudou?]]=1, "Mudou")</f>
        <v>Novo</v>
      </c>
    </row>
    <row r="69" spans="1:9" x14ac:dyDescent="0.25">
      <c r="A69" t="s">
        <v>78</v>
      </c>
      <c r="B69" s="10">
        <v>11994.079563754722</v>
      </c>
      <c r="C69" s="10"/>
      <c r="D69" s="11">
        <f>IF(AND(ChartTable[[#This Row],[Valor Encerrado]]=0, ChartTable[[#This Row],[Valor Ativo]]=""), 1, 0)</f>
        <v>0</v>
      </c>
      <c r="E69" s="11">
        <f>IF(AND(ChartTable[[#This Row],[Valor Ativo]]&lt;&gt;"", ChartTable[[#This Row],[Valor Encerrado]]=""), 1, 0)</f>
        <v>1</v>
      </c>
      <c r="F69" s="11">
        <f>IF(AND(ChartTable[[#This Row],[Novo?]]=0, ChartTable[[#This Row],[Valor Ativo]]&lt;&gt;ChartTable[[#This Row],[Valor Encerrado]]), 1, 0)</f>
        <v>0</v>
      </c>
      <c r="G69" s="18" t="str">
        <f>IF(ChartTable[[#This Row],[Mudou?]]=1, ChartTable[[#This Row],[Valor Encerrado]]-ChartTable[[#This Row],[Valor Ativo]], "")</f>
        <v/>
      </c>
      <c r="H69" s="11" t="str">
        <f>IF(ChartTable[[#This Row],[Mudou?]]=1, IF(ChartTable[[#This Row],[Diferença]]&gt;0, "aumentou", "diminuiu"), "")</f>
        <v/>
      </c>
      <c r="I69" s="11" t="str" cm="1">
        <f t="array" ref="I69">_xlfn.IFS(ChartTable[[#This Row],[Exluido?]]=1,"Excluido",ChartTable[[#This Row],[Novo?]]=1, "Novo", ChartTable[[#This Row],[Mudou?]]=1, "Mudou")</f>
        <v>Novo</v>
      </c>
    </row>
    <row r="70" spans="1:9" x14ac:dyDescent="0.25">
      <c r="A70" t="s">
        <v>79</v>
      </c>
      <c r="B70" s="10">
        <v>11994.079563754722</v>
      </c>
      <c r="C70" s="10"/>
      <c r="D70" s="11">
        <f>IF(AND(ChartTable[[#This Row],[Valor Encerrado]]=0, ChartTable[[#This Row],[Valor Ativo]]=""), 1, 0)</f>
        <v>0</v>
      </c>
      <c r="E70" s="11">
        <f>IF(AND(ChartTable[[#This Row],[Valor Ativo]]&lt;&gt;"", ChartTable[[#This Row],[Valor Encerrado]]=""), 1, 0)</f>
        <v>1</v>
      </c>
      <c r="F70" s="11">
        <f>IF(AND(ChartTable[[#This Row],[Novo?]]=0, ChartTable[[#This Row],[Valor Ativo]]&lt;&gt;ChartTable[[#This Row],[Valor Encerrado]]), 1, 0)</f>
        <v>0</v>
      </c>
      <c r="G70" s="18" t="str">
        <f>IF(ChartTable[[#This Row],[Mudou?]]=1, ChartTable[[#This Row],[Valor Encerrado]]-ChartTable[[#This Row],[Valor Ativo]], "")</f>
        <v/>
      </c>
      <c r="H70" s="11" t="str">
        <f>IF(ChartTable[[#This Row],[Mudou?]]=1, IF(ChartTable[[#This Row],[Diferença]]&gt;0, "aumentou", "diminuiu"), "")</f>
        <v/>
      </c>
      <c r="I70" s="11" t="str" cm="1">
        <f t="array" ref="I70">_xlfn.IFS(ChartTable[[#This Row],[Exluido?]]=1,"Excluido",ChartTable[[#This Row],[Novo?]]=1, "Novo", ChartTable[[#This Row],[Mudou?]]=1, "Mudou")</f>
        <v>Novo</v>
      </c>
    </row>
    <row r="71" spans="1:9" x14ac:dyDescent="0.25">
      <c r="A71" t="s">
        <v>80</v>
      </c>
      <c r="B71" s="10">
        <v>11994.079563754722</v>
      </c>
      <c r="C71" s="10"/>
      <c r="D71" s="11">
        <f>IF(AND(ChartTable[[#This Row],[Valor Encerrado]]=0, ChartTable[[#This Row],[Valor Ativo]]=""), 1, 0)</f>
        <v>0</v>
      </c>
      <c r="E71" s="11">
        <f>IF(AND(ChartTable[[#This Row],[Valor Ativo]]&lt;&gt;"", ChartTable[[#This Row],[Valor Encerrado]]=""), 1, 0)</f>
        <v>1</v>
      </c>
      <c r="F71" s="11">
        <f>IF(AND(ChartTable[[#This Row],[Novo?]]=0, ChartTable[[#This Row],[Valor Ativo]]&lt;&gt;ChartTable[[#This Row],[Valor Encerrado]]), 1, 0)</f>
        <v>0</v>
      </c>
      <c r="G71" s="18" t="str">
        <f>IF(ChartTable[[#This Row],[Mudou?]]=1, ChartTable[[#This Row],[Valor Encerrado]]-ChartTable[[#This Row],[Valor Ativo]], "")</f>
        <v/>
      </c>
      <c r="H71" s="11" t="str">
        <f>IF(ChartTable[[#This Row],[Mudou?]]=1, IF(ChartTable[[#This Row],[Diferença]]&gt;0, "aumentou", "diminuiu"), "")</f>
        <v/>
      </c>
      <c r="I71" s="11" t="str" cm="1">
        <f t="array" ref="I71">_xlfn.IFS(ChartTable[[#This Row],[Exluido?]]=1,"Excluido",ChartTable[[#This Row],[Novo?]]=1, "Novo", ChartTable[[#This Row],[Mudou?]]=1, "Mudou")</f>
        <v>Novo</v>
      </c>
    </row>
    <row r="72" spans="1:9" x14ac:dyDescent="0.25">
      <c r="A72" t="s">
        <v>81</v>
      </c>
      <c r="B72" s="10">
        <v>11994.079563754722</v>
      </c>
      <c r="C72" s="10"/>
      <c r="D72" s="11">
        <f>IF(AND(ChartTable[[#This Row],[Valor Encerrado]]=0, ChartTable[[#This Row],[Valor Ativo]]=""), 1, 0)</f>
        <v>0</v>
      </c>
      <c r="E72" s="11">
        <f>IF(AND(ChartTable[[#This Row],[Valor Ativo]]&lt;&gt;"", ChartTable[[#This Row],[Valor Encerrado]]=""), 1, 0)</f>
        <v>1</v>
      </c>
      <c r="F72" s="11">
        <f>IF(AND(ChartTable[[#This Row],[Novo?]]=0, ChartTable[[#This Row],[Valor Ativo]]&lt;&gt;ChartTable[[#This Row],[Valor Encerrado]]), 1, 0)</f>
        <v>0</v>
      </c>
      <c r="G72" s="18" t="str">
        <f>IF(ChartTable[[#This Row],[Mudou?]]=1, ChartTable[[#This Row],[Valor Encerrado]]-ChartTable[[#This Row],[Valor Ativo]], "")</f>
        <v/>
      </c>
      <c r="H72" s="11" t="str">
        <f>IF(ChartTable[[#This Row],[Mudou?]]=1, IF(ChartTable[[#This Row],[Diferença]]&gt;0, "aumentou", "diminuiu"), "")</f>
        <v/>
      </c>
      <c r="I72" s="11" t="str" cm="1">
        <f t="array" ref="I72">_xlfn.IFS(ChartTable[[#This Row],[Exluido?]]=1,"Excluido",ChartTable[[#This Row],[Novo?]]=1, "Novo", ChartTable[[#This Row],[Mudou?]]=1, "Mudou")</f>
        <v>Novo</v>
      </c>
    </row>
    <row r="73" spans="1:9" x14ac:dyDescent="0.25">
      <c r="A73" t="s">
        <v>82</v>
      </c>
      <c r="B73" s="10">
        <v>11994.079563754722</v>
      </c>
      <c r="C73" s="10"/>
      <c r="D73" s="11">
        <f>IF(AND(ChartTable[[#This Row],[Valor Encerrado]]=0, ChartTable[[#This Row],[Valor Ativo]]=""), 1, 0)</f>
        <v>0</v>
      </c>
      <c r="E73" s="11">
        <f>IF(AND(ChartTable[[#This Row],[Valor Ativo]]&lt;&gt;"", ChartTable[[#This Row],[Valor Encerrado]]=""), 1, 0)</f>
        <v>1</v>
      </c>
      <c r="F73" s="11">
        <f>IF(AND(ChartTable[[#This Row],[Novo?]]=0, ChartTable[[#This Row],[Valor Ativo]]&lt;&gt;ChartTable[[#This Row],[Valor Encerrado]]), 1, 0)</f>
        <v>0</v>
      </c>
      <c r="G73" s="18" t="str">
        <f>IF(ChartTable[[#This Row],[Mudou?]]=1, ChartTable[[#This Row],[Valor Encerrado]]-ChartTable[[#This Row],[Valor Ativo]], "")</f>
        <v/>
      </c>
      <c r="H73" s="11" t="str">
        <f>IF(ChartTable[[#This Row],[Mudou?]]=1, IF(ChartTable[[#This Row],[Diferença]]&gt;0, "aumentou", "diminuiu"), "")</f>
        <v/>
      </c>
      <c r="I73" s="11" t="str" cm="1">
        <f t="array" ref="I73">_xlfn.IFS(ChartTable[[#This Row],[Exluido?]]=1,"Excluido",ChartTable[[#This Row],[Novo?]]=1, "Novo", ChartTable[[#This Row],[Mudou?]]=1, "Mudou")</f>
        <v>Novo</v>
      </c>
    </row>
    <row r="74" spans="1:9" x14ac:dyDescent="0.25">
      <c r="A74" t="s">
        <v>83</v>
      </c>
      <c r="B74" s="10">
        <v>11994.079563754722</v>
      </c>
      <c r="C74" s="10"/>
      <c r="D74" s="11">
        <f>IF(AND(ChartTable[[#This Row],[Valor Encerrado]]=0, ChartTable[[#This Row],[Valor Ativo]]=""), 1, 0)</f>
        <v>0</v>
      </c>
      <c r="E74" s="11">
        <f>IF(AND(ChartTable[[#This Row],[Valor Ativo]]&lt;&gt;"", ChartTable[[#This Row],[Valor Encerrado]]=""), 1, 0)</f>
        <v>1</v>
      </c>
      <c r="F74" s="11">
        <f>IF(AND(ChartTable[[#This Row],[Novo?]]=0, ChartTable[[#This Row],[Valor Ativo]]&lt;&gt;ChartTable[[#This Row],[Valor Encerrado]]), 1, 0)</f>
        <v>0</v>
      </c>
      <c r="G74" s="18" t="str">
        <f>IF(ChartTable[[#This Row],[Mudou?]]=1, ChartTable[[#This Row],[Valor Encerrado]]-ChartTable[[#This Row],[Valor Ativo]], "")</f>
        <v/>
      </c>
      <c r="H74" s="11" t="str">
        <f>IF(ChartTable[[#This Row],[Mudou?]]=1, IF(ChartTable[[#This Row],[Diferença]]&gt;0, "aumentou", "diminuiu"), "")</f>
        <v/>
      </c>
      <c r="I74" s="11" t="str" cm="1">
        <f t="array" ref="I74">_xlfn.IFS(ChartTable[[#This Row],[Exluido?]]=1,"Excluido",ChartTable[[#This Row],[Novo?]]=1, "Novo", ChartTable[[#This Row],[Mudou?]]=1, "Mudou")</f>
        <v>Novo</v>
      </c>
    </row>
    <row r="75" spans="1:9" x14ac:dyDescent="0.25">
      <c r="A75" t="s">
        <v>84</v>
      </c>
      <c r="B75" s="10">
        <v>11994.079563754722</v>
      </c>
      <c r="C75" s="10"/>
      <c r="D75" s="11">
        <f>IF(AND(ChartTable[[#This Row],[Valor Encerrado]]=0, ChartTable[[#This Row],[Valor Ativo]]=""), 1, 0)</f>
        <v>0</v>
      </c>
      <c r="E75" s="11">
        <f>IF(AND(ChartTable[[#This Row],[Valor Ativo]]&lt;&gt;"", ChartTable[[#This Row],[Valor Encerrado]]=""), 1, 0)</f>
        <v>1</v>
      </c>
      <c r="F75" s="11">
        <f>IF(AND(ChartTable[[#This Row],[Novo?]]=0, ChartTable[[#This Row],[Valor Ativo]]&lt;&gt;ChartTable[[#This Row],[Valor Encerrado]]), 1, 0)</f>
        <v>0</v>
      </c>
      <c r="G75" s="18" t="str">
        <f>IF(ChartTable[[#This Row],[Mudou?]]=1, ChartTable[[#This Row],[Valor Encerrado]]-ChartTable[[#This Row],[Valor Ativo]], "")</f>
        <v/>
      </c>
      <c r="H75" s="11" t="str">
        <f>IF(ChartTable[[#This Row],[Mudou?]]=1, IF(ChartTable[[#This Row],[Diferença]]&gt;0, "aumentou", "diminuiu"), "")</f>
        <v/>
      </c>
      <c r="I75" s="11" t="str" cm="1">
        <f t="array" ref="I75">_xlfn.IFS(ChartTable[[#This Row],[Exluido?]]=1,"Excluido",ChartTable[[#This Row],[Novo?]]=1, "Novo", ChartTable[[#This Row],[Mudou?]]=1, "Mudou")</f>
        <v>Novo</v>
      </c>
    </row>
    <row r="76" spans="1:9" x14ac:dyDescent="0.25">
      <c r="A76" t="s">
        <v>85</v>
      </c>
      <c r="B76" s="10">
        <v>11994.079563754722</v>
      </c>
      <c r="C76" s="10"/>
      <c r="D76" s="11">
        <f>IF(AND(ChartTable[[#This Row],[Valor Encerrado]]=0, ChartTable[[#This Row],[Valor Ativo]]=""), 1, 0)</f>
        <v>0</v>
      </c>
      <c r="E76" s="11">
        <f>IF(AND(ChartTable[[#This Row],[Valor Ativo]]&lt;&gt;"", ChartTable[[#This Row],[Valor Encerrado]]=""), 1, 0)</f>
        <v>1</v>
      </c>
      <c r="F76" s="11">
        <f>IF(AND(ChartTable[[#This Row],[Novo?]]=0, ChartTable[[#This Row],[Valor Ativo]]&lt;&gt;ChartTable[[#This Row],[Valor Encerrado]]), 1, 0)</f>
        <v>0</v>
      </c>
      <c r="G76" s="18" t="str">
        <f>IF(ChartTable[[#This Row],[Mudou?]]=1, ChartTable[[#This Row],[Valor Encerrado]]-ChartTable[[#This Row],[Valor Ativo]], "")</f>
        <v/>
      </c>
      <c r="H76" s="11" t="str">
        <f>IF(ChartTable[[#This Row],[Mudou?]]=1, IF(ChartTable[[#This Row],[Diferença]]&gt;0, "aumentou", "diminuiu"), "")</f>
        <v/>
      </c>
      <c r="I76" s="11" t="str" cm="1">
        <f t="array" ref="I76">_xlfn.IFS(ChartTable[[#This Row],[Exluido?]]=1,"Excluido",ChartTable[[#This Row],[Novo?]]=1, "Novo", ChartTable[[#This Row],[Mudou?]]=1, "Mudou")</f>
        <v>Novo</v>
      </c>
    </row>
    <row r="77" spans="1:9" x14ac:dyDescent="0.25">
      <c r="A77" t="s">
        <v>86</v>
      </c>
      <c r="B77" s="10">
        <v>11994.079563754722</v>
      </c>
      <c r="C77" s="10"/>
      <c r="D77" s="11">
        <f>IF(AND(ChartTable[[#This Row],[Valor Encerrado]]=0, ChartTable[[#This Row],[Valor Ativo]]=""), 1, 0)</f>
        <v>0</v>
      </c>
      <c r="E77" s="11">
        <f>IF(AND(ChartTable[[#This Row],[Valor Ativo]]&lt;&gt;"", ChartTable[[#This Row],[Valor Encerrado]]=""), 1, 0)</f>
        <v>1</v>
      </c>
      <c r="F77" s="11">
        <f>IF(AND(ChartTable[[#This Row],[Novo?]]=0, ChartTable[[#This Row],[Valor Ativo]]&lt;&gt;ChartTable[[#This Row],[Valor Encerrado]]), 1, 0)</f>
        <v>0</v>
      </c>
      <c r="G77" s="18" t="str">
        <f>IF(ChartTable[[#This Row],[Mudou?]]=1, ChartTable[[#This Row],[Valor Encerrado]]-ChartTable[[#This Row],[Valor Ativo]], "")</f>
        <v/>
      </c>
      <c r="H77" s="11" t="str">
        <f>IF(ChartTable[[#This Row],[Mudou?]]=1, IF(ChartTable[[#This Row],[Diferença]]&gt;0, "aumentou", "diminuiu"), "")</f>
        <v/>
      </c>
      <c r="I77" s="11" t="str" cm="1">
        <f t="array" ref="I77">_xlfn.IFS(ChartTable[[#This Row],[Exluido?]]=1,"Excluido",ChartTable[[#This Row],[Novo?]]=1, "Novo", ChartTable[[#This Row],[Mudou?]]=1, "Mudou")</f>
        <v>Novo</v>
      </c>
    </row>
    <row r="78" spans="1:9" x14ac:dyDescent="0.25">
      <c r="A78" t="s">
        <v>87</v>
      </c>
      <c r="B78" s="10">
        <v>11994.079563754722</v>
      </c>
      <c r="C78" s="10"/>
      <c r="D78" s="11">
        <f>IF(AND(ChartTable[[#This Row],[Valor Encerrado]]=0, ChartTable[[#This Row],[Valor Ativo]]=""), 1, 0)</f>
        <v>0</v>
      </c>
      <c r="E78" s="11">
        <f>IF(AND(ChartTable[[#This Row],[Valor Ativo]]&lt;&gt;"", ChartTable[[#This Row],[Valor Encerrado]]=""), 1, 0)</f>
        <v>1</v>
      </c>
      <c r="F78" s="11">
        <f>IF(AND(ChartTable[[#This Row],[Novo?]]=0, ChartTable[[#This Row],[Valor Ativo]]&lt;&gt;ChartTable[[#This Row],[Valor Encerrado]]), 1, 0)</f>
        <v>0</v>
      </c>
      <c r="G78" s="18" t="str">
        <f>IF(ChartTable[[#This Row],[Mudou?]]=1, ChartTable[[#This Row],[Valor Encerrado]]-ChartTable[[#This Row],[Valor Ativo]], "")</f>
        <v/>
      </c>
      <c r="H78" s="11" t="str">
        <f>IF(ChartTable[[#This Row],[Mudou?]]=1, IF(ChartTable[[#This Row],[Diferença]]&gt;0, "aumentou", "diminuiu"), "")</f>
        <v/>
      </c>
      <c r="I78" s="11" t="str" cm="1">
        <f t="array" ref="I78">_xlfn.IFS(ChartTable[[#This Row],[Exluido?]]=1,"Excluido",ChartTable[[#This Row],[Novo?]]=1, "Novo", ChartTable[[#This Row],[Mudou?]]=1, "Mudou")</f>
        <v>Novo</v>
      </c>
    </row>
    <row r="79" spans="1:9" x14ac:dyDescent="0.25">
      <c r="A79" t="s">
        <v>88</v>
      </c>
      <c r="B79" s="10">
        <v>11994.079563754722</v>
      </c>
      <c r="C79" s="10"/>
      <c r="D79" s="11">
        <f>IF(AND(ChartTable[[#This Row],[Valor Encerrado]]=0, ChartTable[[#This Row],[Valor Ativo]]=""), 1, 0)</f>
        <v>0</v>
      </c>
      <c r="E79" s="11">
        <f>IF(AND(ChartTable[[#This Row],[Valor Ativo]]&lt;&gt;"", ChartTable[[#This Row],[Valor Encerrado]]=""), 1, 0)</f>
        <v>1</v>
      </c>
      <c r="F79" s="11">
        <f>IF(AND(ChartTable[[#This Row],[Novo?]]=0, ChartTable[[#This Row],[Valor Ativo]]&lt;&gt;ChartTable[[#This Row],[Valor Encerrado]]), 1, 0)</f>
        <v>0</v>
      </c>
      <c r="G79" s="18" t="str">
        <f>IF(ChartTable[[#This Row],[Mudou?]]=1, ChartTable[[#This Row],[Valor Encerrado]]-ChartTable[[#This Row],[Valor Ativo]], "")</f>
        <v/>
      </c>
      <c r="H79" s="11" t="str">
        <f>IF(ChartTable[[#This Row],[Mudou?]]=1, IF(ChartTable[[#This Row],[Diferença]]&gt;0, "aumentou", "diminuiu"), "")</f>
        <v/>
      </c>
      <c r="I79" s="11" t="str" cm="1">
        <f t="array" ref="I79">_xlfn.IFS(ChartTable[[#This Row],[Exluido?]]=1,"Excluido",ChartTable[[#This Row],[Novo?]]=1, "Novo", ChartTable[[#This Row],[Mudou?]]=1, "Mudou")</f>
        <v>Novo</v>
      </c>
    </row>
    <row r="80" spans="1:9" x14ac:dyDescent="0.25">
      <c r="A80" t="s">
        <v>89</v>
      </c>
      <c r="B80" s="10">
        <v>11994.079563754722</v>
      </c>
      <c r="C80" s="10"/>
      <c r="D80" s="11">
        <f>IF(AND(ChartTable[[#This Row],[Valor Encerrado]]=0, ChartTable[[#This Row],[Valor Ativo]]=""), 1, 0)</f>
        <v>0</v>
      </c>
      <c r="E80" s="11">
        <f>IF(AND(ChartTable[[#This Row],[Valor Ativo]]&lt;&gt;"", ChartTable[[#This Row],[Valor Encerrado]]=""), 1, 0)</f>
        <v>1</v>
      </c>
      <c r="F80" s="11">
        <f>IF(AND(ChartTable[[#This Row],[Novo?]]=0, ChartTable[[#This Row],[Valor Ativo]]&lt;&gt;ChartTable[[#This Row],[Valor Encerrado]]), 1, 0)</f>
        <v>0</v>
      </c>
      <c r="G80" s="18" t="str">
        <f>IF(ChartTable[[#This Row],[Mudou?]]=1, ChartTable[[#This Row],[Valor Encerrado]]-ChartTable[[#This Row],[Valor Ativo]], "")</f>
        <v/>
      </c>
      <c r="H80" s="11" t="str">
        <f>IF(ChartTable[[#This Row],[Mudou?]]=1, IF(ChartTable[[#This Row],[Diferença]]&gt;0, "aumentou", "diminuiu"), "")</f>
        <v/>
      </c>
      <c r="I80" s="11" t="str" cm="1">
        <f t="array" ref="I80">_xlfn.IFS(ChartTable[[#This Row],[Exluido?]]=1,"Excluido",ChartTable[[#This Row],[Novo?]]=1, "Novo", ChartTable[[#This Row],[Mudou?]]=1, "Mudou")</f>
        <v>Novo</v>
      </c>
    </row>
    <row r="81" spans="1:9" x14ac:dyDescent="0.25">
      <c r="A81" t="s">
        <v>90</v>
      </c>
      <c r="B81" s="10">
        <v>11994.079563754722</v>
      </c>
      <c r="C81" s="10"/>
      <c r="D81" s="11">
        <f>IF(AND(ChartTable[[#This Row],[Valor Encerrado]]=0, ChartTable[[#This Row],[Valor Ativo]]=""), 1, 0)</f>
        <v>0</v>
      </c>
      <c r="E81" s="11">
        <f>IF(AND(ChartTable[[#This Row],[Valor Ativo]]&lt;&gt;"", ChartTable[[#This Row],[Valor Encerrado]]=""), 1, 0)</f>
        <v>1</v>
      </c>
      <c r="F81" s="11">
        <f>IF(AND(ChartTable[[#This Row],[Novo?]]=0, ChartTable[[#This Row],[Valor Ativo]]&lt;&gt;ChartTable[[#This Row],[Valor Encerrado]]), 1, 0)</f>
        <v>0</v>
      </c>
      <c r="G81" s="18" t="str">
        <f>IF(ChartTable[[#This Row],[Mudou?]]=1, ChartTable[[#This Row],[Valor Encerrado]]-ChartTable[[#This Row],[Valor Ativo]], "")</f>
        <v/>
      </c>
      <c r="H81" s="11" t="str">
        <f>IF(ChartTable[[#This Row],[Mudou?]]=1, IF(ChartTable[[#This Row],[Diferença]]&gt;0, "aumentou", "diminuiu"), "")</f>
        <v/>
      </c>
      <c r="I81" s="11" t="str" cm="1">
        <f t="array" ref="I81">_xlfn.IFS(ChartTable[[#This Row],[Exluido?]]=1,"Excluido",ChartTable[[#This Row],[Novo?]]=1, "Novo", ChartTable[[#This Row],[Mudou?]]=1, "Mudou")</f>
        <v>Novo</v>
      </c>
    </row>
    <row r="82" spans="1:9" x14ac:dyDescent="0.25">
      <c r="A82" t="s">
        <v>91</v>
      </c>
      <c r="B82" s="10">
        <v>11994.079563754722</v>
      </c>
      <c r="C82" s="10"/>
      <c r="D82" s="11">
        <f>IF(AND(ChartTable[[#This Row],[Valor Encerrado]]=0, ChartTable[[#This Row],[Valor Ativo]]=""), 1, 0)</f>
        <v>0</v>
      </c>
      <c r="E82" s="11">
        <f>IF(AND(ChartTable[[#This Row],[Valor Ativo]]&lt;&gt;"", ChartTable[[#This Row],[Valor Encerrado]]=""), 1, 0)</f>
        <v>1</v>
      </c>
      <c r="F82" s="11">
        <f>IF(AND(ChartTable[[#This Row],[Novo?]]=0, ChartTable[[#This Row],[Valor Ativo]]&lt;&gt;ChartTable[[#This Row],[Valor Encerrado]]), 1, 0)</f>
        <v>0</v>
      </c>
      <c r="G82" s="18" t="str">
        <f>IF(ChartTable[[#This Row],[Mudou?]]=1, ChartTable[[#This Row],[Valor Encerrado]]-ChartTable[[#This Row],[Valor Ativo]], "")</f>
        <v/>
      </c>
      <c r="H82" s="11" t="str">
        <f>IF(ChartTable[[#This Row],[Mudou?]]=1, IF(ChartTable[[#This Row],[Diferença]]&gt;0, "aumentou", "diminuiu"), "")</f>
        <v/>
      </c>
      <c r="I82" s="11" t="str" cm="1">
        <f t="array" ref="I82">_xlfn.IFS(ChartTable[[#This Row],[Exluido?]]=1,"Excluido",ChartTable[[#This Row],[Novo?]]=1, "Novo", ChartTable[[#This Row],[Mudou?]]=1, "Mudou")</f>
        <v>Novo</v>
      </c>
    </row>
    <row r="83" spans="1:9" x14ac:dyDescent="0.25">
      <c r="A83" t="s">
        <v>92</v>
      </c>
      <c r="B83" s="10">
        <v>11994.079563754722</v>
      </c>
      <c r="C83" s="10"/>
      <c r="D83" s="11">
        <f>IF(AND(ChartTable[[#This Row],[Valor Encerrado]]=0, ChartTable[[#This Row],[Valor Ativo]]=""), 1, 0)</f>
        <v>0</v>
      </c>
      <c r="E83" s="11">
        <f>IF(AND(ChartTable[[#This Row],[Valor Ativo]]&lt;&gt;"", ChartTable[[#This Row],[Valor Encerrado]]=""), 1, 0)</f>
        <v>1</v>
      </c>
      <c r="F83" s="11">
        <f>IF(AND(ChartTable[[#This Row],[Novo?]]=0, ChartTable[[#This Row],[Valor Ativo]]&lt;&gt;ChartTable[[#This Row],[Valor Encerrado]]), 1, 0)</f>
        <v>0</v>
      </c>
      <c r="G83" s="18" t="str">
        <f>IF(ChartTable[[#This Row],[Mudou?]]=1, ChartTable[[#This Row],[Valor Encerrado]]-ChartTable[[#This Row],[Valor Ativo]], "")</f>
        <v/>
      </c>
      <c r="H83" s="11" t="str">
        <f>IF(ChartTable[[#This Row],[Mudou?]]=1, IF(ChartTable[[#This Row],[Diferença]]&gt;0, "aumentou", "diminuiu"), "")</f>
        <v/>
      </c>
      <c r="I83" s="11" t="str" cm="1">
        <f t="array" ref="I83">_xlfn.IFS(ChartTable[[#This Row],[Exluido?]]=1,"Excluido",ChartTable[[#This Row],[Novo?]]=1, "Novo", ChartTable[[#This Row],[Mudou?]]=1, "Mudou")</f>
        <v>Novo</v>
      </c>
    </row>
    <row r="84" spans="1:9" x14ac:dyDescent="0.25">
      <c r="A84" t="s">
        <v>93</v>
      </c>
      <c r="B84" s="10">
        <v>11994.079563754722</v>
      </c>
      <c r="C84" s="10"/>
      <c r="D84" s="11">
        <f>IF(AND(ChartTable[[#This Row],[Valor Encerrado]]=0, ChartTable[[#This Row],[Valor Ativo]]=""), 1, 0)</f>
        <v>0</v>
      </c>
      <c r="E84" s="11">
        <f>IF(AND(ChartTable[[#This Row],[Valor Ativo]]&lt;&gt;"", ChartTable[[#This Row],[Valor Encerrado]]=""), 1, 0)</f>
        <v>1</v>
      </c>
      <c r="F84" s="11">
        <f>IF(AND(ChartTable[[#This Row],[Novo?]]=0, ChartTable[[#This Row],[Valor Ativo]]&lt;&gt;ChartTable[[#This Row],[Valor Encerrado]]), 1, 0)</f>
        <v>0</v>
      </c>
      <c r="G84" s="18" t="str">
        <f>IF(ChartTable[[#This Row],[Mudou?]]=1, ChartTable[[#This Row],[Valor Encerrado]]-ChartTable[[#This Row],[Valor Ativo]], "")</f>
        <v/>
      </c>
      <c r="H84" s="11" t="str">
        <f>IF(ChartTable[[#This Row],[Mudou?]]=1, IF(ChartTable[[#This Row],[Diferença]]&gt;0, "aumentou", "diminuiu"), "")</f>
        <v/>
      </c>
      <c r="I84" s="11" t="str" cm="1">
        <f t="array" ref="I84">_xlfn.IFS(ChartTable[[#This Row],[Exluido?]]=1,"Excluido",ChartTable[[#This Row],[Novo?]]=1, "Novo", ChartTable[[#This Row],[Mudou?]]=1, "Mudou")</f>
        <v>Novo</v>
      </c>
    </row>
    <row r="85" spans="1:9" x14ac:dyDescent="0.25">
      <c r="A85" t="s">
        <v>94</v>
      </c>
      <c r="B85" s="10">
        <v>11994.079563754722</v>
      </c>
      <c r="C85" s="10"/>
      <c r="D85" s="11">
        <f>IF(AND(ChartTable[[#This Row],[Valor Encerrado]]=0, ChartTable[[#This Row],[Valor Ativo]]=""), 1, 0)</f>
        <v>0</v>
      </c>
      <c r="E85" s="11">
        <f>IF(AND(ChartTable[[#This Row],[Valor Ativo]]&lt;&gt;"", ChartTable[[#This Row],[Valor Encerrado]]=""), 1, 0)</f>
        <v>1</v>
      </c>
      <c r="F85" s="11">
        <f>IF(AND(ChartTable[[#This Row],[Novo?]]=0, ChartTable[[#This Row],[Valor Ativo]]&lt;&gt;ChartTable[[#This Row],[Valor Encerrado]]), 1, 0)</f>
        <v>0</v>
      </c>
      <c r="G85" s="18" t="str">
        <f>IF(ChartTable[[#This Row],[Mudou?]]=1, ChartTable[[#This Row],[Valor Encerrado]]-ChartTable[[#This Row],[Valor Ativo]], "")</f>
        <v/>
      </c>
      <c r="H85" s="11" t="str">
        <f>IF(ChartTable[[#This Row],[Mudou?]]=1, IF(ChartTable[[#This Row],[Diferença]]&gt;0, "aumentou", "diminuiu"), "")</f>
        <v/>
      </c>
      <c r="I85" s="11" t="str" cm="1">
        <f t="array" ref="I85">_xlfn.IFS(ChartTable[[#This Row],[Exluido?]]=1,"Excluido",ChartTable[[#This Row],[Novo?]]=1, "Novo", ChartTable[[#This Row],[Mudou?]]=1, "Mudou")</f>
        <v>Novo</v>
      </c>
    </row>
    <row r="86" spans="1:9" x14ac:dyDescent="0.25">
      <c r="A86" t="s">
        <v>95</v>
      </c>
      <c r="B86" s="10">
        <v>11994.079563754722</v>
      </c>
      <c r="C86" s="10"/>
      <c r="D86" s="11">
        <f>IF(AND(ChartTable[[#This Row],[Valor Encerrado]]=0, ChartTable[[#This Row],[Valor Ativo]]=""), 1, 0)</f>
        <v>0</v>
      </c>
      <c r="E86" s="11">
        <f>IF(AND(ChartTable[[#This Row],[Valor Ativo]]&lt;&gt;"", ChartTable[[#This Row],[Valor Encerrado]]=""), 1, 0)</f>
        <v>1</v>
      </c>
      <c r="F86" s="11">
        <f>IF(AND(ChartTable[[#This Row],[Novo?]]=0, ChartTable[[#This Row],[Valor Ativo]]&lt;&gt;ChartTable[[#This Row],[Valor Encerrado]]), 1, 0)</f>
        <v>0</v>
      </c>
      <c r="G86" s="18" t="str">
        <f>IF(ChartTable[[#This Row],[Mudou?]]=1, ChartTable[[#This Row],[Valor Encerrado]]-ChartTable[[#This Row],[Valor Ativo]], "")</f>
        <v/>
      </c>
      <c r="H86" s="11" t="str">
        <f>IF(ChartTable[[#This Row],[Mudou?]]=1, IF(ChartTable[[#This Row],[Diferença]]&gt;0, "aumentou", "diminuiu"), "")</f>
        <v/>
      </c>
      <c r="I86" s="11" t="str" cm="1">
        <f t="array" ref="I86">_xlfn.IFS(ChartTable[[#This Row],[Exluido?]]=1,"Excluido",ChartTable[[#This Row],[Novo?]]=1, "Novo", ChartTable[[#This Row],[Mudou?]]=1, "Mudou")</f>
        <v>Novo</v>
      </c>
    </row>
    <row r="87" spans="1:9" x14ac:dyDescent="0.25">
      <c r="A87" t="s">
        <v>96</v>
      </c>
      <c r="B87" s="10">
        <v>11994.079563754722</v>
      </c>
      <c r="C87" s="10"/>
      <c r="D87" s="11">
        <f>IF(AND(ChartTable[[#This Row],[Valor Encerrado]]=0, ChartTable[[#This Row],[Valor Ativo]]=""), 1, 0)</f>
        <v>0</v>
      </c>
      <c r="E87" s="11">
        <f>IF(AND(ChartTable[[#This Row],[Valor Ativo]]&lt;&gt;"", ChartTable[[#This Row],[Valor Encerrado]]=""), 1, 0)</f>
        <v>1</v>
      </c>
      <c r="F87" s="11">
        <f>IF(AND(ChartTable[[#This Row],[Novo?]]=0, ChartTable[[#This Row],[Valor Ativo]]&lt;&gt;ChartTable[[#This Row],[Valor Encerrado]]), 1, 0)</f>
        <v>0</v>
      </c>
      <c r="G87" s="18" t="str">
        <f>IF(ChartTable[[#This Row],[Mudou?]]=1, ChartTable[[#This Row],[Valor Encerrado]]-ChartTable[[#This Row],[Valor Ativo]], "")</f>
        <v/>
      </c>
      <c r="H87" s="11" t="str">
        <f>IF(ChartTable[[#This Row],[Mudou?]]=1, IF(ChartTable[[#This Row],[Diferença]]&gt;0, "aumentou", "diminuiu"), "")</f>
        <v/>
      </c>
      <c r="I87" s="11" t="str" cm="1">
        <f t="array" ref="I87">_xlfn.IFS(ChartTable[[#This Row],[Exluido?]]=1,"Excluido",ChartTable[[#This Row],[Novo?]]=1, "Novo", ChartTable[[#This Row],[Mudou?]]=1, "Mudou")</f>
        <v>Novo</v>
      </c>
    </row>
    <row r="88" spans="1:9" x14ac:dyDescent="0.25">
      <c r="A88" t="s">
        <v>97</v>
      </c>
      <c r="B88" s="10">
        <v>11994.079563754722</v>
      </c>
      <c r="C88" s="10"/>
      <c r="D88" s="11">
        <f>IF(AND(ChartTable[[#This Row],[Valor Encerrado]]=0, ChartTable[[#This Row],[Valor Ativo]]=""), 1, 0)</f>
        <v>0</v>
      </c>
      <c r="E88" s="11">
        <f>IF(AND(ChartTable[[#This Row],[Valor Ativo]]&lt;&gt;"", ChartTable[[#This Row],[Valor Encerrado]]=""), 1, 0)</f>
        <v>1</v>
      </c>
      <c r="F88" s="11">
        <f>IF(AND(ChartTable[[#This Row],[Novo?]]=0, ChartTable[[#This Row],[Valor Ativo]]&lt;&gt;ChartTable[[#This Row],[Valor Encerrado]]), 1, 0)</f>
        <v>0</v>
      </c>
      <c r="G88" s="18" t="str">
        <f>IF(ChartTable[[#This Row],[Mudou?]]=1, ChartTable[[#This Row],[Valor Encerrado]]-ChartTable[[#This Row],[Valor Ativo]], "")</f>
        <v/>
      </c>
      <c r="H88" s="11" t="str">
        <f>IF(ChartTable[[#This Row],[Mudou?]]=1, IF(ChartTable[[#This Row],[Diferença]]&gt;0, "aumentou", "diminuiu"), "")</f>
        <v/>
      </c>
      <c r="I88" s="11" t="str" cm="1">
        <f t="array" ref="I88">_xlfn.IFS(ChartTable[[#This Row],[Exluido?]]=1,"Excluido",ChartTable[[#This Row],[Novo?]]=1, "Novo", ChartTable[[#This Row],[Mudou?]]=1, "Mudou")</f>
        <v>Novo</v>
      </c>
    </row>
    <row r="89" spans="1:9" x14ac:dyDescent="0.25">
      <c r="A89" t="s">
        <v>98</v>
      </c>
      <c r="B89" s="10">
        <v>11994.079563754722</v>
      </c>
      <c r="C89" s="10"/>
      <c r="D89" s="11">
        <f>IF(AND(ChartTable[[#This Row],[Valor Encerrado]]=0, ChartTable[[#This Row],[Valor Ativo]]=""), 1, 0)</f>
        <v>0</v>
      </c>
      <c r="E89" s="11">
        <f>IF(AND(ChartTable[[#This Row],[Valor Ativo]]&lt;&gt;"", ChartTable[[#This Row],[Valor Encerrado]]=""), 1, 0)</f>
        <v>1</v>
      </c>
      <c r="F89" s="11">
        <f>IF(AND(ChartTable[[#This Row],[Novo?]]=0, ChartTable[[#This Row],[Valor Ativo]]&lt;&gt;ChartTable[[#This Row],[Valor Encerrado]]), 1, 0)</f>
        <v>0</v>
      </c>
      <c r="G89" s="18" t="str">
        <f>IF(ChartTable[[#This Row],[Mudou?]]=1, ChartTable[[#This Row],[Valor Encerrado]]-ChartTable[[#This Row],[Valor Ativo]], "")</f>
        <v/>
      </c>
      <c r="H89" s="11" t="str">
        <f>IF(ChartTable[[#This Row],[Mudou?]]=1, IF(ChartTable[[#This Row],[Diferença]]&gt;0, "aumentou", "diminuiu"), "")</f>
        <v/>
      </c>
      <c r="I89" s="11" t="str" cm="1">
        <f t="array" ref="I89">_xlfn.IFS(ChartTable[[#This Row],[Exluido?]]=1,"Excluido",ChartTable[[#This Row],[Novo?]]=1, "Novo", ChartTable[[#This Row],[Mudou?]]=1, "Mudou")</f>
        <v>Novo</v>
      </c>
    </row>
    <row r="90" spans="1:9" x14ac:dyDescent="0.25">
      <c r="A90" t="s">
        <v>99</v>
      </c>
      <c r="B90" s="10">
        <v>11994.079563754722</v>
      </c>
      <c r="C90" s="10"/>
      <c r="D90" s="11">
        <f>IF(AND(ChartTable[[#This Row],[Valor Encerrado]]=0, ChartTable[[#This Row],[Valor Ativo]]=""), 1, 0)</f>
        <v>0</v>
      </c>
      <c r="E90" s="11">
        <f>IF(AND(ChartTable[[#This Row],[Valor Ativo]]&lt;&gt;"", ChartTable[[#This Row],[Valor Encerrado]]=""), 1, 0)</f>
        <v>1</v>
      </c>
      <c r="F90" s="11">
        <f>IF(AND(ChartTable[[#This Row],[Novo?]]=0, ChartTable[[#This Row],[Valor Ativo]]&lt;&gt;ChartTable[[#This Row],[Valor Encerrado]]), 1, 0)</f>
        <v>0</v>
      </c>
      <c r="G90" s="18" t="str">
        <f>IF(ChartTable[[#This Row],[Mudou?]]=1, ChartTable[[#This Row],[Valor Encerrado]]-ChartTable[[#This Row],[Valor Ativo]], "")</f>
        <v/>
      </c>
      <c r="H90" s="11" t="str">
        <f>IF(ChartTable[[#This Row],[Mudou?]]=1, IF(ChartTable[[#This Row],[Diferença]]&gt;0, "aumentou", "diminuiu"), "")</f>
        <v/>
      </c>
      <c r="I90" s="11" t="str" cm="1">
        <f t="array" ref="I90">_xlfn.IFS(ChartTable[[#This Row],[Exluido?]]=1,"Excluido",ChartTable[[#This Row],[Novo?]]=1, "Novo", ChartTable[[#This Row],[Mudou?]]=1, "Mudou")</f>
        <v>Novo</v>
      </c>
    </row>
    <row r="91" spans="1:9" x14ac:dyDescent="0.25">
      <c r="A91" t="s">
        <v>100</v>
      </c>
      <c r="B91" s="10">
        <v>11994.079563754722</v>
      </c>
      <c r="C91" s="10"/>
      <c r="D91" s="11">
        <f>IF(AND(ChartTable[[#This Row],[Valor Encerrado]]=0, ChartTable[[#This Row],[Valor Ativo]]=""), 1, 0)</f>
        <v>0</v>
      </c>
      <c r="E91" s="11">
        <f>IF(AND(ChartTable[[#This Row],[Valor Ativo]]&lt;&gt;"", ChartTable[[#This Row],[Valor Encerrado]]=""), 1, 0)</f>
        <v>1</v>
      </c>
      <c r="F91" s="11">
        <f>IF(AND(ChartTable[[#This Row],[Novo?]]=0, ChartTable[[#This Row],[Valor Ativo]]&lt;&gt;ChartTable[[#This Row],[Valor Encerrado]]), 1, 0)</f>
        <v>0</v>
      </c>
      <c r="G91" s="18" t="str">
        <f>IF(ChartTable[[#This Row],[Mudou?]]=1, ChartTable[[#This Row],[Valor Encerrado]]-ChartTable[[#This Row],[Valor Ativo]], "")</f>
        <v/>
      </c>
      <c r="H91" s="11" t="str">
        <f>IF(ChartTable[[#This Row],[Mudou?]]=1, IF(ChartTable[[#This Row],[Diferença]]&gt;0, "aumentou", "diminuiu"), "")</f>
        <v/>
      </c>
      <c r="I91" s="11" t="str" cm="1">
        <f t="array" ref="I91">_xlfn.IFS(ChartTable[[#This Row],[Exluido?]]=1,"Excluido",ChartTable[[#This Row],[Novo?]]=1, "Novo", ChartTable[[#This Row],[Mudou?]]=1, "Mudou")</f>
        <v>Novo</v>
      </c>
    </row>
    <row r="92" spans="1:9" x14ac:dyDescent="0.25">
      <c r="A92" t="s">
        <v>101</v>
      </c>
      <c r="B92" s="10">
        <v>11994.079563754722</v>
      </c>
      <c r="C92" s="10"/>
      <c r="D92" s="11">
        <f>IF(AND(ChartTable[[#This Row],[Valor Encerrado]]=0, ChartTable[[#This Row],[Valor Ativo]]=""), 1, 0)</f>
        <v>0</v>
      </c>
      <c r="E92" s="11">
        <f>IF(AND(ChartTable[[#This Row],[Valor Ativo]]&lt;&gt;"", ChartTable[[#This Row],[Valor Encerrado]]=""), 1, 0)</f>
        <v>1</v>
      </c>
      <c r="F92" s="11">
        <f>IF(AND(ChartTable[[#This Row],[Novo?]]=0, ChartTable[[#This Row],[Valor Ativo]]&lt;&gt;ChartTable[[#This Row],[Valor Encerrado]]), 1, 0)</f>
        <v>0</v>
      </c>
      <c r="G92" s="18" t="str">
        <f>IF(ChartTable[[#This Row],[Mudou?]]=1, ChartTable[[#This Row],[Valor Encerrado]]-ChartTable[[#This Row],[Valor Ativo]], "")</f>
        <v/>
      </c>
      <c r="H92" s="11" t="str">
        <f>IF(ChartTable[[#This Row],[Mudou?]]=1, IF(ChartTable[[#This Row],[Diferença]]&gt;0, "aumentou", "diminuiu"), "")</f>
        <v/>
      </c>
      <c r="I92" s="11" t="str" cm="1">
        <f t="array" ref="I92">_xlfn.IFS(ChartTable[[#This Row],[Exluido?]]=1,"Excluido",ChartTable[[#This Row],[Novo?]]=1, "Novo", ChartTable[[#This Row],[Mudou?]]=1, "Mudou")</f>
        <v>Novo</v>
      </c>
    </row>
    <row r="93" spans="1:9" x14ac:dyDescent="0.25">
      <c r="A93" t="s">
        <v>102</v>
      </c>
      <c r="B93" s="10">
        <v>11994.079563754722</v>
      </c>
      <c r="C93" s="10"/>
      <c r="D93" s="11">
        <f>IF(AND(ChartTable[[#This Row],[Valor Encerrado]]=0, ChartTable[[#This Row],[Valor Ativo]]=""), 1, 0)</f>
        <v>0</v>
      </c>
      <c r="E93" s="11">
        <f>IF(AND(ChartTable[[#This Row],[Valor Ativo]]&lt;&gt;"", ChartTable[[#This Row],[Valor Encerrado]]=""), 1, 0)</f>
        <v>1</v>
      </c>
      <c r="F93" s="11">
        <f>IF(AND(ChartTable[[#This Row],[Novo?]]=0, ChartTable[[#This Row],[Valor Ativo]]&lt;&gt;ChartTable[[#This Row],[Valor Encerrado]]), 1, 0)</f>
        <v>0</v>
      </c>
      <c r="G93" s="18" t="str">
        <f>IF(ChartTable[[#This Row],[Mudou?]]=1, ChartTable[[#This Row],[Valor Encerrado]]-ChartTable[[#This Row],[Valor Ativo]], "")</f>
        <v/>
      </c>
      <c r="H93" s="11" t="str">
        <f>IF(ChartTable[[#This Row],[Mudou?]]=1, IF(ChartTable[[#This Row],[Diferença]]&gt;0, "aumentou", "diminuiu"), "")</f>
        <v/>
      </c>
      <c r="I93" s="11" t="str" cm="1">
        <f t="array" ref="I93">_xlfn.IFS(ChartTable[[#This Row],[Exluido?]]=1,"Excluido",ChartTable[[#This Row],[Novo?]]=1, "Novo", ChartTable[[#This Row],[Mudou?]]=1, "Mudou")</f>
        <v>Novo</v>
      </c>
    </row>
    <row r="94" spans="1:9" x14ac:dyDescent="0.25">
      <c r="A94" t="s">
        <v>103</v>
      </c>
      <c r="B94" s="10">
        <v>11994.079563754722</v>
      </c>
      <c r="C94" s="10"/>
      <c r="D94" s="11">
        <f>IF(AND(ChartTable[[#This Row],[Valor Encerrado]]=0, ChartTable[[#This Row],[Valor Ativo]]=""), 1, 0)</f>
        <v>0</v>
      </c>
      <c r="E94" s="11">
        <f>IF(AND(ChartTable[[#This Row],[Valor Ativo]]&lt;&gt;"", ChartTable[[#This Row],[Valor Encerrado]]=""), 1, 0)</f>
        <v>1</v>
      </c>
      <c r="F94" s="11">
        <f>IF(AND(ChartTable[[#This Row],[Novo?]]=0, ChartTable[[#This Row],[Valor Ativo]]&lt;&gt;ChartTable[[#This Row],[Valor Encerrado]]), 1, 0)</f>
        <v>0</v>
      </c>
      <c r="G94" s="18" t="str">
        <f>IF(ChartTable[[#This Row],[Mudou?]]=1, ChartTable[[#This Row],[Valor Encerrado]]-ChartTable[[#This Row],[Valor Ativo]], "")</f>
        <v/>
      </c>
      <c r="H94" s="11" t="str">
        <f>IF(ChartTable[[#This Row],[Mudou?]]=1, IF(ChartTable[[#This Row],[Diferença]]&gt;0, "aumentou", "diminuiu"), "")</f>
        <v/>
      </c>
      <c r="I94" s="11" t="str" cm="1">
        <f t="array" ref="I94">_xlfn.IFS(ChartTable[[#This Row],[Exluido?]]=1,"Excluido",ChartTable[[#This Row],[Novo?]]=1, "Novo", ChartTable[[#This Row],[Mudou?]]=1, "Mudou")</f>
        <v>Novo</v>
      </c>
    </row>
    <row r="95" spans="1:9" x14ac:dyDescent="0.25">
      <c r="A95" t="s">
        <v>104</v>
      </c>
      <c r="B95" s="10">
        <v>11994.079563754722</v>
      </c>
      <c r="C95" s="10"/>
      <c r="D95" s="11">
        <f>IF(AND(ChartTable[[#This Row],[Valor Encerrado]]=0, ChartTable[[#This Row],[Valor Ativo]]=""), 1, 0)</f>
        <v>0</v>
      </c>
      <c r="E95" s="11">
        <f>IF(AND(ChartTable[[#This Row],[Valor Ativo]]&lt;&gt;"", ChartTable[[#This Row],[Valor Encerrado]]=""), 1, 0)</f>
        <v>1</v>
      </c>
      <c r="F95" s="11">
        <f>IF(AND(ChartTable[[#This Row],[Novo?]]=0, ChartTable[[#This Row],[Valor Ativo]]&lt;&gt;ChartTable[[#This Row],[Valor Encerrado]]), 1, 0)</f>
        <v>0</v>
      </c>
      <c r="G95" s="18" t="str">
        <f>IF(ChartTable[[#This Row],[Mudou?]]=1, ChartTable[[#This Row],[Valor Encerrado]]-ChartTable[[#This Row],[Valor Ativo]], "")</f>
        <v/>
      </c>
      <c r="H95" s="11" t="str">
        <f>IF(ChartTable[[#This Row],[Mudou?]]=1, IF(ChartTable[[#This Row],[Diferença]]&gt;0, "aumentou", "diminuiu"), "")</f>
        <v/>
      </c>
      <c r="I95" s="11" t="str" cm="1">
        <f t="array" ref="I95">_xlfn.IFS(ChartTable[[#This Row],[Exluido?]]=1,"Excluido",ChartTable[[#This Row],[Novo?]]=1, "Novo", ChartTable[[#This Row],[Mudou?]]=1, "Mudou")</f>
        <v>Novo</v>
      </c>
    </row>
    <row r="96" spans="1:9" x14ac:dyDescent="0.25">
      <c r="A96" t="s">
        <v>105</v>
      </c>
      <c r="B96" s="10">
        <v>11994.079563754722</v>
      </c>
      <c r="C96" s="10"/>
      <c r="D96" s="11">
        <f>IF(AND(ChartTable[[#This Row],[Valor Encerrado]]=0, ChartTable[[#This Row],[Valor Ativo]]=""), 1, 0)</f>
        <v>0</v>
      </c>
      <c r="E96" s="11">
        <f>IF(AND(ChartTable[[#This Row],[Valor Ativo]]&lt;&gt;"", ChartTable[[#This Row],[Valor Encerrado]]=""), 1, 0)</f>
        <v>1</v>
      </c>
      <c r="F96" s="11">
        <f>IF(AND(ChartTable[[#This Row],[Novo?]]=0, ChartTable[[#This Row],[Valor Ativo]]&lt;&gt;ChartTable[[#This Row],[Valor Encerrado]]), 1, 0)</f>
        <v>0</v>
      </c>
      <c r="G96" s="18" t="str">
        <f>IF(ChartTable[[#This Row],[Mudou?]]=1, ChartTable[[#This Row],[Valor Encerrado]]-ChartTable[[#This Row],[Valor Ativo]], "")</f>
        <v/>
      </c>
      <c r="H96" s="11" t="str">
        <f>IF(ChartTable[[#This Row],[Mudou?]]=1, IF(ChartTable[[#This Row],[Diferença]]&gt;0, "aumentou", "diminuiu"), "")</f>
        <v/>
      </c>
      <c r="I96" s="11" t="str" cm="1">
        <f t="array" ref="I96">_xlfn.IFS(ChartTable[[#This Row],[Exluido?]]=1,"Excluido",ChartTable[[#This Row],[Novo?]]=1, "Novo", ChartTable[[#This Row],[Mudou?]]=1, "Mudou")</f>
        <v>Novo</v>
      </c>
    </row>
    <row r="97" spans="1:9" x14ac:dyDescent="0.25">
      <c r="A97" t="s">
        <v>106</v>
      </c>
      <c r="B97" s="10">
        <v>11994.079563754722</v>
      </c>
      <c r="C97" s="10"/>
      <c r="D97" s="11">
        <f>IF(AND(ChartTable[[#This Row],[Valor Encerrado]]=0, ChartTable[[#This Row],[Valor Ativo]]=""), 1, 0)</f>
        <v>0</v>
      </c>
      <c r="E97" s="11">
        <f>IF(AND(ChartTable[[#This Row],[Valor Ativo]]&lt;&gt;"", ChartTable[[#This Row],[Valor Encerrado]]=""), 1, 0)</f>
        <v>1</v>
      </c>
      <c r="F97" s="11">
        <f>IF(AND(ChartTable[[#This Row],[Novo?]]=0, ChartTable[[#This Row],[Valor Ativo]]&lt;&gt;ChartTable[[#This Row],[Valor Encerrado]]), 1, 0)</f>
        <v>0</v>
      </c>
      <c r="G97" s="18" t="str">
        <f>IF(ChartTable[[#This Row],[Mudou?]]=1, ChartTable[[#This Row],[Valor Encerrado]]-ChartTable[[#This Row],[Valor Ativo]], "")</f>
        <v/>
      </c>
      <c r="H97" s="11" t="str">
        <f>IF(ChartTable[[#This Row],[Mudou?]]=1, IF(ChartTable[[#This Row],[Diferença]]&gt;0, "aumentou", "diminuiu"), "")</f>
        <v/>
      </c>
      <c r="I97" s="11" t="str" cm="1">
        <f t="array" ref="I97">_xlfn.IFS(ChartTable[[#This Row],[Exluido?]]=1,"Excluido",ChartTable[[#This Row],[Novo?]]=1, "Novo", ChartTable[[#This Row],[Mudou?]]=1, "Mudou")</f>
        <v>Novo</v>
      </c>
    </row>
    <row r="98" spans="1:9" x14ac:dyDescent="0.25">
      <c r="A98" t="s">
        <v>107</v>
      </c>
      <c r="B98" s="10">
        <v>11994.079563754722</v>
      </c>
      <c r="C98" s="10"/>
      <c r="D98" s="11">
        <f>IF(AND(ChartTable[[#This Row],[Valor Encerrado]]=0, ChartTable[[#This Row],[Valor Ativo]]=""), 1, 0)</f>
        <v>0</v>
      </c>
      <c r="E98" s="11">
        <f>IF(AND(ChartTable[[#This Row],[Valor Ativo]]&lt;&gt;"", ChartTable[[#This Row],[Valor Encerrado]]=""), 1, 0)</f>
        <v>1</v>
      </c>
      <c r="F98" s="11">
        <f>IF(AND(ChartTable[[#This Row],[Novo?]]=0, ChartTable[[#This Row],[Valor Ativo]]&lt;&gt;ChartTable[[#This Row],[Valor Encerrado]]), 1, 0)</f>
        <v>0</v>
      </c>
      <c r="G98" s="18" t="str">
        <f>IF(ChartTable[[#This Row],[Mudou?]]=1, ChartTable[[#This Row],[Valor Encerrado]]-ChartTable[[#This Row],[Valor Ativo]], "")</f>
        <v/>
      </c>
      <c r="H98" s="11" t="str">
        <f>IF(ChartTable[[#This Row],[Mudou?]]=1, IF(ChartTable[[#This Row],[Diferença]]&gt;0, "aumentou", "diminuiu"), "")</f>
        <v/>
      </c>
      <c r="I98" s="11" t="str" cm="1">
        <f t="array" ref="I98">_xlfn.IFS(ChartTable[[#This Row],[Exluido?]]=1,"Excluido",ChartTable[[#This Row],[Novo?]]=1, "Novo", ChartTable[[#This Row],[Mudou?]]=1, "Mudou")</f>
        <v>Novo</v>
      </c>
    </row>
    <row r="99" spans="1:9" x14ac:dyDescent="0.25">
      <c r="A99" t="s">
        <v>108</v>
      </c>
      <c r="B99" s="10">
        <v>11994.079563754722</v>
      </c>
      <c r="C99" s="10"/>
      <c r="D99" s="11">
        <f>IF(AND(ChartTable[[#This Row],[Valor Encerrado]]=0, ChartTable[[#This Row],[Valor Ativo]]=""), 1, 0)</f>
        <v>0</v>
      </c>
      <c r="E99" s="11">
        <f>IF(AND(ChartTable[[#This Row],[Valor Ativo]]&lt;&gt;"", ChartTable[[#This Row],[Valor Encerrado]]=""), 1, 0)</f>
        <v>1</v>
      </c>
      <c r="F99" s="11">
        <f>IF(AND(ChartTable[[#This Row],[Novo?]]=0, ChartTable[[#This Row],[Valor Ativo]]&lt;&gt;ChartTable[[#This Row],[Valor Encerrado]]), 1, 0)</f>
        <v>0</v>
      </c>
      <c r="G99" s="18" t="str">
        <f>IF(ChartTable[[#This Row],[Mudou?]]=1, ChartTable[[#This Row],[Valor Encerrado]]-ChartTable[[#This Row],[Valor Ativo]], "")</f>
        <v/>
      </c>
      <c r="H99" s="11" t="str">
        <f>IF(ChartTable[[#This Row],[Mudou?]]=1, IF(ChartTable[[#This Row],[Diferença]]&gt;0, "aumentou", "diminuiu"), "")</f>
        <v/>
      </c>
      <c r="I99" s="11" t="str" cm="1">
        <f t="array" ref="I99">_xlfn.IFS(ChartTable[[#This Row],[Exluido?]]=1,"Excluido",ChartTable[[#This Row],[Novo?]]=1, "Novo", ChartTable[[#This Row],[Mudou?]]=1, "Mudou")</f>
        <v>Novo</v>
      </c>
    </row>
    <row r="100" spans="1:9" x14ac:dyDescent="0.25">
      <c r="A100" t="s">
        <v>109</v>
      </c>
      <c r="B100" s="10">
        <v>11994.079563754722</v>
      </c>
      <c r="C100" s="10"/>
      <c r="D100" s="11">
        <f>IF(AND(ChartTable[[#This Row],[Valor Encerrado]]=0, ChartTable[[#This Row],[Valor Ativo]]=""), 1, 0)</f>
        <v>0</v>
      </c>
      <c r="E100" s="11">
        <f>IF(AND(ChartTable[[#This Row],[Valor Ativo]]&lt;&gt;"", ChartTable[[#This Row],[Valor Encerrado]]=""), 1, 0)</f>
        <v>1</v>
      </c>
      <c r="F100" s="11">
        <f>IF(AND(ChartTable[[#This Row],[Novo?]]=0, ChartTable[[#This Row],[Valor Ativo]]&lt;&gt;ChartTable[[#This Row],[Valor Encerrado]]), 1, 0)</f>
        <v>0</v>
      </c>
      <c r="G100" s="18" t="str">
        <f>IF(ChartTable[[#This Row],[Mudou?]]=1, ChartTable[[#This Row],[Valor Encerrado]]-ChartTable[[#This Row],[Valor Ativo]], "")</f>
        <v/>
      </c>
      <c r="H100" s="11" t="str">
        <f>IF(ChartTable[[#This Row],[Mudou?]]=1, IF(ChartTable[[#This Row],[Diferença]]&gt;0, "aumentou", "diminuiu"), "")</f>
        <v/>
      </c>
      <c r="I100" s="11" t="str" cm="1">
        <f t="array" ref="I100">_xlfn.IFS(ChartTable[[#This Row],[Exluido?]]=1,"Excluido",ChartTable[[#This Row],[Novo?]]=1, "Novo", ChartTable[[#This Row],[Mudou?]]=1, "Mudou")</f>
        <v>Novo</v>
      </c>
    </row>
    <row r="101" spans="1:9" x14ac:dyDescent="0.25">
      <c r="A101" t="s">
        <v>110</v>
      </c>
      <c r="B101" s="10">
        <v>11994.079563754722</v>
      </c>
      <c r="C101" s="10"/>
      <c r="D101" s="11">
        <f>IF(AND(ChartTable[[#This Row],[Valor Encerrado]]=0, ChartTable[[#This Row],[Valor Ativo]]=""), 1, 0)</f>
        <v>0</v>
      </c>
      <c r="E101" s="11">
        <f>IF(AND(ChartTable[[#This Row],[Valor Ativo]]&lt;&gt;"", ChartTable[[#This Row],[Valor Encerrado]]=""), 1, 0)</f>
        <v>1</v>
      </c>
      <c r="F101" s="11">
        <f>IF(AND(ChartTable[[#This Row],[Novo?]]=0, ChartTable[[#This Row],[Valor Ativo]]&lt;&gt;ChartTable[[#This Row],[Valor Encerrado]]), 1, 0)</f>
        <v>0</v>
      </c>
      <c r="G101" s="18" t="str">
        <f>IF(ChartTable[[#This Row],[Mudou?]]=1, ChartTable[[#This Row],[Valor Encerrado]]-ChartTable[[#This Row],[Valor Ativo]], "")</f>
        <v/>
      </c>
      <c r="H101" s="11" t="str">
        <f>IF(ChartTable[[#This Row],[Mudou?]]=1, IF(ChartTable[[#This Row],[Diferença]]&gt;0, "aumentou", "diminuiu"), "")</f>
        <v/>
      </c>
      <c r="I101" s="11" t="str" cm="1">
        <f t="array" ref="I101">_xlfn.IFS(ChartTable[[#This Row],[Exluido?]]=1,"Excluido",ChartTable[[#This Row],[Novo?]]=1, "Novo", ChartTable[[#This Row],[Mudou?]]=1, "Mudou")</f>
        <v>Novo</v>
      </c>
    </row>
    <row r="102" spans="1:9" x14ac:dyDescent="0.25">
      <c r="A102" t="s">
        <v>111</v>
      </c>
      <c r="B102" s="10">
        <v>11994.079563754722</v>
      </c>
      <c r="C102" s="10"/>
      <c r="D102" s="11">
        <f>IF(AND(ChartTable[[#This Row],[Valor Encerrado]]=0, ChartTable[[#This Row],[Valor Ativo]]=""), 1, 0)</f>
        <v>0</v>
      </c>
      <c r="E102" s="11">
        <f>IF(AND(ChartTable[[#This Row],[Valor Ativo]]&lt;&gt;"", ChartTable[[#This Row],[Valor Encerrado]]=""), 1, 0)</f>
        <v>1</v>
      </c>
      <c r="F102" s="11">
        <f>IF(AND(ChartTable[[#This Row],[Novo?]]=0, ChartTable[[#This Row],[Valor Ativo]]&lt;&gt;ChartTable[[#This Row],[Valor Encerrado]]), 1, 0)</f>
        <v>0</v>
      </c>
      <c r="G102" s="18" t="str">
        <f>IF(ChartTable[[#This Row],[Mudou?]]=1, ChartTable[[#This Row],[Valor Encerrado]]-ChartTable[[#This Row],[Valor Ativo]], "")</f>
        <v/>
      </c>
      <c r="H102" s="11" t="str">
        <f>IF(ChartTable[[#This Row],[Mudou?]]=1, IF(ChartTable[[#This Row],[Diferença]]&gt;0, "aumentou", "diminuiu"), "")</f>
        <v/>
      </c>
      <c r="I102" s="11" t="str" cm="1">
        <f t="array" ref="I102">_xlfn.IFS(ChartTable[[#This Row],[Exluido?]]=1,"Excluido",ChartTable[[#This Row],[Novo?]]=1, "Novo", ChartTable[[#This Row],[Mudou?]]=1, "Mudou")</f>
        <v>Novo</v>
      </c>
    </row>
    <row r="103" spans="1:9" x14ac:dyDescent="0.25">
      <c r="A103" t="s">
        <v>112</v>
      </c>
      <c r="B103" s="10">
        <v>11994.079563754722</v>
      </c>
      <c r="C103" s="10"/>
      <c r="D103" s="11">
        <f>IF(AND(ChartTable[[#This Row],[Valor Encerrado]]=0, ChartTable[[#This Row],[Valor Ativo]]=""), 1, 0)</f>
        <v>0</v>
      </c>
      <c r="E103" s="11">
        <f>IF(AND(ChartTable[[#This Row],[Valor Ativo]]&lt;&gt;"", ChartTable[[#This Row],[Valor Encerrado]]=""), 1, 0)</f>
        <v>1</v>
      </c>
      <c r="F103" s="11">
        <f>IF(AND(ChartTable[[#This Row],[Novo?]]=0, ChartTable[[#This Row],[Valor Ativo]]&lt;&gt;ChartTable[[#This Row],[Valor Encerrado]]), 1, 0)</f>
        <v>0</v>
      </c>
      <c r="G103" s="18" t="str">
        <f>IF(ChartTable[[#This Row],[Mudou?]]=1, ChartTable[[#This Row],[Valor Encerrado]]-ChartTable[[#This Row],[Valor Ativo]], "")</f>
        <v/>
      </c>
      <c r="H103" s="11" t="str">
        <f>IF(ChartTable[[#This Row],[Mudou?]]=1, IF(ChartTable[[#This Row],[Diferença]]&gt;0, "aumentou", "diminuiu"), "")</f>
        <v/>
      </c>
      <c r="I103" s="11" t="str" cm="1">
        <f t="array" ref="I103">_xlfn.IFS(ChartTable[[#This Row],[Exluido?]]=1,"Excluido",ChartTable[[#This Row],[Novo?]]=1, "Novo", ChartTable[[#This Row],[Mudou?]]=1, "Mudou")</f>
        <v>Novo</v>
      </c>
    </row>
    <row r="104" spans="1:9" x14ac:dyDescent="0.25">
      <c r="A104" t="s">
        <v>113</v>
      </c>
      <c r="B104" s="10">
        <v>11994.079563754722</v>
      </c>
      <c r="C104" s="10"/>
      <c r="D104" s="11">
        <f>IF(AND(ChartTable[[#This Row],[Valor Encerrado]]=0, ChartTable[[#This Row],[Valor Ativo]]=""), 1, 0)</f>
        <v>0</v>
      </c>
      <c r="E104" s="11">
        <f>IF(AND(ChartTable[[#This Row],[Valor Ativo]]&lt;&gt;"", ChartTable[[#This Row],[Valor Encerrado]]=""), 1, 0)</f>
        <v>1</v>
      </c>
      <c r="F104" s="11">
        <f>IF(AND(ChartTable[[#This Row],[Novo?]]=0, ChartTable[[#This Row],[Valor Ativo]]&lt;&gt;ChartTable[[#This Row],[Valor Encerrado]]), 1, 0)</f>
        <v>0</v>
      </c>
      <c r="G104" s="18" t="str">
        <f>IF(ChartTable[[#This Row],[Mudou?]]=1, ChartTable[[#This Row],[Valor Encerrado]]-ChartTable[[#This Row],[Valor Ativo]], "")</f>
        <v/>
      </c>
      <c r="H104" s="11" t="str">
        <f>IF(ChartTable[[#This Row],[Mudou?]]=1, IF(ChartTable[[#This Row],[Diferença]]&gt;0, "aumentou", "diminuiu"), "")</f>
        <v/>
      </c>
      <c r="I104" s="11" t="str" cm="1">
        <f t="array" ref="I104">_xlfn.IFS(ChartTable[[#This Row],[Exluido?]]=1,"Excluido",ChartTable[[#This Row],[Novo?]]=1, "Novo", ChartTable[[#This Row],[Mudou?]]=1, "Mudou")</f>
        <v>Novo</v>
      </c>
    </row>
    <row r="105" spans="1:9" x14ac:dyDescent="0.25">
      <c r="A105" t="s">
        <v>114</v>
      </c>
      <c r="B105" s="10">
        <v>11994.079563754722</v>
      </c>
      <c r="C105" s="10"/>
      <c r="D105" s="11">
        <f>IF(AND(ChartTable[[#This Row],[Valor Encerrado]]=0, ChartTable[[#This Row],[Valor Ativo]]=""), 1, 0)</f>
        <v>0</v>
      </c>
      <c r="E105" s="11">
        <f>IF(AND(ChartTable[[#This Row],[Valor Ativo]]&lt;&gt;"", ChartTable[[#This Row],[Valor Encerrado]]=""), 1, 0)</f>
        <v>1</v>
      </c>
      <c r="F105" s="11">
        <f>IF(AND(ChartTable[[#This Row],[Novo?]]=0, ChartTable[[#This Row],[Valor Ativo]]&lt;&gt;ChartTable[[#This Row],[Valor Encerrado]]), 1, 0)</f>
        <v>0</v>
      </c>
      <c r="G105" s="18" t="str">
        <f>IF(ChartTable[[#This Row],[Mudou?]]=1, ChartTable[[#This Row],[Valor Encerrado]]-ChartTable[[#This Row],[Valor Ativo]], "")</f>
        <v/>
      </c>
      <c r="H105" s="11" t="str">
        <f>IF(ChartTable[[#This Row],[Mudou?]]=1, IF(ChartTable[[#This Row],[Diferença]]&gt;0, "aumentou", "diminuiu"), "")</f>
        <v/>
      </c>
      <c r="I105" s="11" t="str" cm="1">
        <f t="array" ref="I105">_xlfn.IFS(ChartTable[[#This Row],[Exluido?]]=1,"Excluido",ChartTable[[#This Row],[Novo?]]=1, "Novo", ChartTable[[#This Row],[Mudou?]]=1, "Mudou")</f>
        <v>Novo</v>
      </c>
    </row>
    <row r="106" spans="1:9" x14ac:dyDescent="0.25">
      <c r="A106" t="s">
        <v>115</v>
      </c>
      <c r="B106" s="10">
        <v>11994.079563754722</v>
      </c>
      <c r="C106" s="10"/>
      <c r="D106" s="11">
        <f>IF(AND(ChartTable[[#This Row],[Valor Encerrado]]=0, ChartTable[[#This Row],[Valor Ativo]]=""), 1, 0)</f>
        <v>0</v>
      </c>
      <c r="E106" s="11">
        <f>IF(AND(ChartTable[[#This Row],[Valor Ativo]]&lt;&gt;"", ChartTable[[#This Row],[Valor Encerrado]]=""), 1, 0)</f>
        <v>1</v>
      </c>
      <c r="F106" s="11">
        <f>IF(AND(ChartTable[[#This Row],[Novo?]]=0, ChartTable[[#This Row],[Valor Ativo]]&lt;&gt;ChartTable[[#This Row],[Valor Encerrado]]), 1, 0)</f>
        <v>0</v>
      </c>
      <c r="G106" s="18" t="str">
        <f>IF(ChartTable[[#This Row],[Mudou?]]=1, ChartTable[[#This Row],[Valor Encerrado]]-ChartTable[[#This Row],[Valor Ativo]], "")</f>
        <v/>
      </c>
      <c r="H106" s="11" t="str">
        <f>IF(ChartTable[[#This Row],[Mudou?]]=1, IF(ChartTable[[#This Row],[Diferença]]&gt;0, "aumentou", "diminuiu"), "")</f>
        <v/>
      </c>
      <c r="I106" s="11" t="str" cm="1">
        <f t="array" ref="I106">_xlfn.IFS(ChartTable[[#This Row],[Exluido?]]=1,"Excluido",ChartTable[[#This Row],[Novo?]]=1, "Novo", ChartTable[[#This Row],[Mudou?]]=1, "Mudou")</f>
        <v>Novo</v>
      </c>
    </row>
    <row r="107" spans="1:9" x14ac:dyDescent="0.25">
      <c r="A107" t="s">
        <v>116</v>
      </c>
      <c r="B107" s="10">
        <v>11994.079563754722</v>
      </c>
      <c r="C107" s="10"/>
      <c r="D107" s="11">
        <f>IF(AND(ChartTable[[#This Row],[Valor Encerrado]]=0, ChartTable[[#This Row],[Valor Ativo]]=""), 1, 0)</f>
        <v>0</v>
      </c>
      <c r="E107" s="11">
        <f>IF(AND(ChartTable[[#This Row],[Valor Ativo]]&lt;&gt;"", ChartTable[[#This Row],[Valor Encerrado]]=""), 1, 0)</f>
        <v>1</v>
      </c>
      <c r="F107" s="11">
        <f>IF(AND(ChartTable[[#This Row],[Novo?]]=0, ChartTable[[#This Row],[Valor Ativo]]&lt;&gt;ChartTable[[#This Row],[Valor Encerrado]]), 1, 0)</f>
        <v>0</v>
      </c>
      <c r="G107" s="18" t="str">
        <f>IF(ChartTable[[#This Row],[Mudou?]]=1, ChartTable[[#This Row],[Valor Encerrado]]-ChartTable[[#This Row],[Valor Ativo]], "")</f>
        <v/>
      </c>
      <c r="H107" s="11" t="str">
        <f>IF(ChartTable[[#This Row],[Mudou?]]=1, IF(ChartTable[[#This Row],[Diferença]]&gt;0, "aumentou", "diminuiu"), "")</f>
        <v/>
      </c>
      <c r="I107" s="11" t="str" cm="1">
        <f t="array" ref="I107">_xlfn.IFS(ChartTable[[#This Row],[Exluido?]]=1,"Excluido",ChartTable[[#This Row],[Novo?]]=1, "Novo", ChartTable[[#This Row],[Mudou?]]=1, "Mudou")</f>
        <v>Novo</v>
      </c>
    </row>
    <row r="108" spans="1:9" x14ac:dyDescent="0.25">
      <c r="A108" t="s">
        <v>117</v>
      </c>
      <c r="B108" s="10">
        <v>11994.079563754722</v>
      </c>
      <c r="C108" s="10"/>
      <c r="D108" s="11">
        <f>IF(AND(ChartTable[[#This Row],[Valor Encerrado]]=0, ChartTable[[#This Row],[Valor Ativo]]=""), 1, 0)</f>
        <v>0</v>
      </c>
      <c r="E108" s="11">
        <f>IF(AND(ChartTable[[#This Row],[Valor Ativo]]&lt;&gt;"", ChartTable[[#This Row],[Valor Encerrado]]=""), 1, 0)</f>
        <v>1</v>
      </c>
      <c r="F108" s="11">
        <f>IF(AND(ChartTable[[#This Row],[Novo?]]=0, ChartTable[[#This Row],[Valor Ativo]]&lt;&gt;ChartTable[[#This Row],[Valor Encerrado]]), 1, 0)</f>
        <v>0</v>
      </c>
      <c r="G108" s="18" t="str">
        <f>IF(ChartTable[[#This Row],[Mudou?]]=1, ChartTable[[#This Row],[Valor Encerrado]]-ChartTable[[#This Row],[Valor Ativo]], "")</f>
        <v/>
      </c>
      <c r="H108" s="11" t="str">
        <f>IF(ChartTable[[#This Row],[Mudou?]]=1, IF(ChartTable[[#This Row],[Diferença]]&gt;0, "aumentou", "diminuiu"), "")</f>
        <v/>
      </c>
      <c r="I108" s="11" t="str" cm="1">
        <f t="array" ref="I108">_xlfn.IFS(ChartTable[[#This Row],[Exluido?]]=1,"Excluido",ChartTable[[#This Row],[Novo?]]=1, "Novo", ChartTable[[#This Row],[Mudou?]]=1, "Mudou")</f>
        <v>Novo</v>
      </c>
    </row>
    <row r="109" spans="1:9" x14ac:dyDescent="0.25">
      <c r="A109" t="s">
        <v>118</v>
      </c>
      <c r="B109" s="10">
        <v>11994.079563754722</v>
      </c>
      <c r="C109" s="10"/>
      <c r="D109" s="11">
        <f>IF(AND(ChartTable[[#This Row],[Valor Encerrado]]=0, ChartTable[[#This Row],[Valor Ativo]]=""), 1, 0)</f>
        <v>0</v>
      </c>
      <c r="E109" s="11">
        <f>IF(AND(ChartTable[[#This Row],[Valor Ativo]]&lt;&gt;"", ChartTable[[#This Row],[Valor Encerrado]]=""), 1, 0)</f>
        <v>1</v>
      </c>
      <c r="F109" s="11">
        <f>IF(AND(ChartTable[[#This Row],[Novo?]]=0, ChartTable[[#This Row],[Valor Ativo]]&lt;&gt;ChartTable[[#This Row],[Valor Encerrado]]), 1, 0)</f>
        <v>0</v>
      </c>
      <c r="G109" s="18" t="str">
        <f>IF(ChartTable[[#This Row],[Mudou?]]=1, ChartTable[[#This Row],[Valor Encerrado]]-ChartTable[[#This Row],[Valor Ativo]], "")</f>
        <v/>
      </c>
      <c r="H109" s="11" t="str">
        <f>IF(ChartTable[[#This Row],[Mudou?]]=1, IF(ChartTable[[#This Row],[Diferença]]&gt;0, "aumentou", "diminuiu"), "")</f>
        <v/>
      </c>
      <c r="I109" s="11" t="str" cm="1">
        <f t="array" ref="I109">_xlfn.IFS(ChartTable[[#This Row],[Exluido?]]=1,"Excluido",ChartTable[[#This Row],[Novo?]]=1, "Novo", ChartTable[[#This Row],[Mudou?]]=1, "Mudou")</f>
        <v>Novo</v>
      </c>
    </row>
    <row r="110" spans="1:9" x14ac:dyDescent="0.25">
      <c r="A110" t="s">
        <v>119</v>
      </c>
      <c r="B110" s="10">
        <v>11994.079563754722</v>
      </c>
      <c r="C110" s="10"/>
      <c r="D110" s="11">
        <f>IF(AND(ChartTable[[#This Row],[Valor Encerrado]]=0, ChartTable[[#This Row],[Valor Ativo]]=""), 1, 0)</f>
        <v>0</v>
      </c>
      <c r="E110" s="11">
        <f>IF(AND(ChartTable[[#This Row],[Valor Ativo]]&lt;&gt;"", ChartTable[[#This Row],[Valor Encerrado]]=""), 1, 0)</f>
        <v>1</v>
      </c>
      <c r="F110" s="11">
        <f>IF(AND(ChartTable[[#This Row],[Novo?]]=0, ChartTable[[#This Row],[Valor Ativo]]&lt;&gt;ChartTable[[#This Row],[Valor Encerrado]]), 1, 0)</f>
        <v>0</v>
      </c>
      <c r="G110" s="18" t="str">
        <f>IF(ChartTable[[#This Row],[Mudou?]]=1, ChartTable[[#This Row],[Valor Encerrado]]-ChartTable[[#This Row],[Valor Ativo]], "")</f>
        <v/>
      </c>
      <c r="H110" s="11" t="str">
        <f>IF(ChartTable[[#This Row],[Mudou?]]=1, IF(ChartTable[[#This Row],[Diferença]]&gt;0, "aumentou", "diminuiu"), "")</f>
        <v/>
      </c>
      <c r="I110" s="11" t="str" cm="1">
        <f t="array" ref="I110">_xlfn.IFS(ChartTable[[#This Row],[Exluido?]]=1,"Excluido",ChartTable[[#This Row],[Novo?]]=1, "Novo", ChartTable[[#This Row],[Mudou?]]=1, "Mudou")</f>
        <v>Novo</v>
      </c>
    </row>
    <row r="111" spans="1:9" x14ac:dyDescent="0.25">
      <c r="A111" t="s">
        <v>120</v>
      </c>
      <c r="B111" s="10">
        <v>11994.079563754722</v>
      </c>
      <c r="C111" s="10"/>
      <c r="D111" s="11">
        <f>IF(AND(ChartTable[[#This Row],[Valor Encerrado]]=0, ChartTable[[#This Row],[Valor Ativo]]=""), 1, 0)</f>
        <v>0</v>
      </c>
      <c r="E111" s="11">
        <f>IF(AND(ChartTable[[#This Row],[Valor Ativo]]&lt;&gt;"", ChartTable[[#This Row],[Valor Encerrado]]=""), 1, 0)</f>
        <v>1</v>
      </c>
      <c r="F111" s="11">
        <f>IF(AND(ChartTable[[#This Row],[Novo?]]=0, ChartTable[[#This Row],[Valor Ativo]]&lt;&gt;ChartTable[[#This Row],[Valor Encerrado]]), 1, 0)</f>
        <v>0</v>
      </c>
      <c r="G111" s="18" t="str">
        <f>IF(ChartTable[[#This Row],[Mudou?]]=1, ChartTable[[#This Row],[Valor Encerrado]]-ChartTable[[#This Row],[Valor Ativo]], "")</f>
        <v/>
      </c>
      <c r="H111" s="11" t="str">
        <f>IF(ChartTable[[#This Row],[Mudou?]]=1, IF(ChartTable[[#This Row],[Diferença]]&gt;0, "aumentou", "diminuiu"), "")</f>
        <v/>
      </c>
      <c r="I111" s="11" t="str" cm="1">
        <f t="array" ref="I111">_xlfn.IFS(ChartTable[[#This Row],[Exluido?]]=1,"Excluido",ChartTable[[#This Row],[Novo?]]=1, "Novo", ChartTable[[#This Row],[Mudou?]]=1, "Mudou")</f>
        <v>Novo</v>
      </c>
    </row>
    <row r="112" spans="1:9" x14ac:dyDescent="0.25">
      <c r="A112" t="s">
        <v>121</v>
      </c>
      <c r="B112" s="10">
        <v>11994.079563754722</v>
      </c>
      <c r="C112" s="10"/>
      <c r="D112" s="11">
        <f>IF(AND(ChartTable[[#This Row],[Valor Encerrado]]=0, ChartTable[[#This Row],[Valor Ativo]]=""), 1, 0)</f>
        <v>0</v>
      </c>
      <c r="E112" s="11">
        <f>IF(AND(ChartTable[[#This Row],[Valor Ativo]]&lt;&gt;"", ChartTable[[#This Row],[Valor Encerrado]]=""), 1, 0)</f>
        <v>1</v>
      </c>
      <c r="F112" s="11">
        <f>IF(AND(ChartTable[[#This Row],[Novo?]]=0, ChartTable[[#This Row],[Valor Ativo]]&lt;&gt;ChartTable[[#This Row],[Valor Encerrado]]), 1, 0)</f>
        <v>0</v>
      </c>
      <c r="G112" s="18" t="str">
        <f>IF(ChartTable[[#This Row],[Mudou?]]=1, ChartTable[[#This Row],[Valor Encerrado]]-ChartTable[[#This Row],[Valor Ativo]], "")</f>
        <v/>
      </c>
      <c r="H112" s="11" t="str">
        <f>IF(ChartTable[[#This Row],[Mudou?]]=1, IF(ChartTable[[#This Row],[Diferença]]&gt;0, "aumentou", "diminuiu"), "")</f>
        <v/>
      </c>
      <c r="I112" s="11" t="str" cm="1">
        <f t="array" ref="I112">_xlfn.IFS(ChartTable[[#This Row],[Exluido?]]=1,"Excluido",ChartTable[[#This Row],[Novo?]]=1, "Novo", ChartTable[[#This Row],[Mudou?]]=1, "Mudou")</f>
        <v>Novo</v>
      </c>
    </row>
    <row r="113" spans="1:9" x14ac:dyDescent="0.25">
      <c r="A113" t="s">
        <v>122</v>
      </c>
      <c r="B113" s="10">
        <v>11994.079563754722</v>
      </c>
      <c r="C113" s="10"/>
      <c r="D113" s="11">
        <f>IF(AND(ChartTable[[#This Row],[Valor Encerrado]]=0, ChartTable[[#This Row],[Valor Ativo]]=""), 1, 0)</f>
        <v>0</v>
      </c>
      <c r="E113" s="11">
        <f>IF(AND(ChartTable[[#This Row],[Valor Ativo]]&lt;&gt;"", ChartTable[[#This Row],[Valor Encerrado]]=""), 1, 0)</f>
        <v>1</v>
      </c>
      <c r="F113" s="11">
        <f>IF(AND(ChartTable[[#This Row],[Novo?]]=0, ChartTable[[#This Row],[Valor Ativo]]&lt;&gt;ChartTable[[#This Row],[Valor Encerrado]]), 1, 0)</f>
        <v>0</v>
      </c>
      <c r="G113" s="18" t="str">
        <f>IF(ChartTable[[#This Row],[Mudou?]]=1, ChartTable[[#This Row],[Valor Encerrado]]-ChartTable[[#This Row],[Valor Ativo]], "")</f>
        <v/>
      </c>
      <c r="H113" s="11" t="str">
        <f>IF(ChartTable[[#This Row],[Mudou?]]=1, IF(ChartTable[[#This Row],[Diferença]]&gt;0, "aumentou", "diminuiu"), "")</f>
        <v/>
      </c>
      <c r="I113" s="11" t="str" cm="1">
        <f t="array" ref="I113">_xlfn.IFS(ChartTable[[#This Row],[Exluido?]]=1,"Excluido",ChartTable[[#This Row],[Novo?]]=1, "Novo", ChartTable[[#This Row],[Mudou?]]=1, "Mudou")</f>
        <v>Novo</v>
      </c>
    </row>
    <row r="114" spans="1:9" x14ac:dyDescent="0.25">
      <c r="A114" t="s">
        <v>123</v>
      </c>
      <c r="B114" s="10">
        <v>11994.079563754722</v>
      </c>
      <c r="C114" s="10"/>
      <c r="D114" s="11">
        <f>IF(AND(ChartTable[[#This Row],[Valor Encerrado]]=0, ChartTable[[#This Row],[Valor Ativo]]=""), 1, 0)</f>
        <v>0</v>
      </c>
      <c r="E114" s="11">
        <f>IF(AND(ChartTable[[#This Row],[Valor Ativo]]&lt;&gt;"", ChartTable[[#This Row],[Valor Encerrado]]=""), 1, 0)</f>
        <v>1</v>
      </c>
      <c r="F114" s="11">
        <f>IF(AND(ChartTable[[#This Row],[Novo?]]=0, ChartTable[[#This Row],[Valor Ativo]]&lt;&gt;ChartTable[[#This Row],[Valor Encerrado]]), 1, 0)</f>
        <v>0</v>
      </c>
      <c r="G114" s="18" t="str">
        <f>IF(ChartTable[[#This Row],[Mudou?]]=1, ChartTable[[#This Row],[Valor Encerrado]]-ChartTable[[#This Row],[Valor Ativo]], "")</f>
        <v/>
      </c>
      <c r="H114" s="11" t="str">
        <f>IF(ChartTable[[#This Row],[Mudou?]]=1, IF(ChartTable[[#This Row],[Diferença]]&gt;0, "aumentou", "diminuiu"), "")</f>
        <v/>
      </c>
      <c r="I114" s="11" t="str" cm="1">
        <f t="array" ref="I114">_xlfn.IFS(ChartTable[[#This Row],[Exluido?]]=1,"Excluido",ChartTable[[#This Row],[Novo?]]=1, "Novo", ChartTable[[#This Row],[Mudou?]]=1, "Mudou")</f>
        <v>Novo</v>
      </c>
    </row>
    <row r="115" spans="1:9" x14ac:dyDescent="0.25">
      <c r="A115" t="s">
        <v>124</v>
      </c>
      <c r="B115" s="10">
        <v>11994.079563754722</v>
      </c>
      <c r="C115" s="10"/>
      <c r="D115" s="11">
        <f>IF(AND(ChartTable[[#This Row],[Valor Encerrado]]=0, ChartTable[[#This Row],[Valor Ativo]]=""), 1, 0)</f>
        <v>0</v>
      </c>
      <c r="E115" s="11">
        <f>IF(AND(ChartTable[[#This Row],[Valor Ativo]]&lt;&gt;"", ChartTable[[#This Row],[Valor Encerrado]]=""), 1, 0)</f>
        <v>1</v>
      </c>
      <c r="F115" s="11">
        <f>IF(AND(ChartTable[[#This Row],[Novo?]]=0, ChartTable[[#This Row],[Valor Ativo]]&lt;&gt;ChartTable[[#This Row],[Valor Encerrado]]), 1, 0)</f>
        <v>0</v>
      </c>
      <c r="G115" s="18" t="str">
        <f>IF(ChartTable[[#This Row],[Mudou?]]=1, ChartTable[[#This Row],[Valor Encerrado]]-ChartTable[[#This Row],[Valor Ativo]], "")</f>
        <v/>
      </c>
      <c r="H115" s="11" t="str">
        <f>IF(ChartTable[[#This Row],[Mudou?]]=1, IF(ChartTable[[#This Row],[Diferença]]&gt;0, "aumentou", "diminuiu"), "")</f>
        <v/>
      </c>
      <c r="I115" s="11" t="str" cm="1">
        <f t="array" ref="I115">_xlfn.IFS(ChartTable[[#This Row],[Exluido?]]=1,"Excluido",ChartTable[[#This Row],[Novo?]]=1, "Novo", ChartTable[[#This Row],[Mudou?]]=1, "Mudou")</f>
        <v>Novo</v>
      </c>
    </row>
    <row r="116" spans="1:9" x14ac:dyDescent="0.25">
      <c r="A116" t="s">
        <v>125</v>
      </c>
      <c r="B116" s="10">
        <v>11994.079563754722</v>
      </c>
      <c r="C116" s="10"/>
      <c r="D116" s="11">
        <f>IF(AND(ChartTable[[#This Row],[Valor Encerrado]]=0, ChartTable[[#This Row],[Valor Ativo]]=""), 1, 0)</f>
        <v>0</v>
      </c>
      <c r="E116" s="11">
        <f>IF(AND(ChartTable[[#This Row],[Valor Ativo]]&lt;&gt;"", ChartTable[[#This Row],[Valor Encerrado]]=""), 1, 0)</f>
        <v>1</v>
      </c>
      <c r="F116" s="11">
        <f>IF(AND(ChartTable[[#This Row],[Novo?]]=0, ChartTable[[#This Row],[Valor Ativo]]&lt;&gt;ChartTable[[#This Row],[Valor Encerrado]]), 1, 0)</f>
        <v>0</v>
      </c>
      <c r="G116" s="18" t="str">
        <f>IF(ChartTable[[#This Row],[Mudou?]]=1, ChartTable[[#This Row],[Valor Encerrado]]-ChartTable[[#This Row],[Valor Ativo]], "")</f>
        <v/>
      </c>
      <c r="H116" s="11" t="str">
        <f>IF(ChartTable[[#This Row],[Mudou?]]=1, IF(ChartTable[[#This Row],[Diferença]]&gt;0, "aumentou", "diminuiu"), "")</f>
        <v/>
      </c>
      <c r="I116" s="11" t="str" cm="1">
        <f t="array" ref="I116">_xlfn.IFS(ChartTable[[#This Row],[Exluido?]]=1,"Excluido",ChartTable[[#This Row],[Novo?]]=1, "Novo", ChartTable[[#This Row],[Mudou?]]=1, "Mudou")</f>
        <v>Novo</v>
      </c>
    </row>
    <row r="117" spans="1:9" x14ac:dyDescent="0.25">
      <c r="A117" t="s">
        <v>126</v>
      </c>
      <c r="B117" s="10">
        <v>11994.079563754722</v>
      </c>
      <c r="C117" s="10"/>
      <c r="D117" s="11">
        <f>IF(AND(ChartTable[[#This Row],[Valor Encerrado]]=0, ChartTable[[#This Row],[Valor Ativo]]=""), 1, 0)</f>
        <v>0</v>
      </c>
      <c r="E117" s="11">
        <f>IF(AND(ChartTable[[#This Row],[Valor Ativo]]&lt;&gt;"", ChartTable[[#This Row],[Valor Encerrado]]=""), 1, 0)</f>
        <v>1</v>
      </c>
      <c r="F117" s="11">
        <f>IF(AND(ChartTable[[#This Row],[Novo?]]=0, ChartTable[[#This Row],[Valor Ativo]]&lt;&gt;ChartTable[[#This Row],[Valor Encerrado]]), 1, 0)</f>
        <v>0</v>
      </c>
      <c r="G117" s="18" t="str">
        <f>IF(ChartTable[[#This Row],[Mudou?]]=1, ChartTable[[#This Row],[Valor Encerrado]]-ChartTable[[#This Row],[Valor Ativo]], "")</f>
        <v/>
      </c>
      <c r="H117" s="11" t="str">
        <f>IF(ChartTable[[#This Row],[Mudou?]]=1, IF(ChartTable[[#This Row],[Diferença]]&gt;0, "aumentou", "diminuiu"), "")</f>
        <v/>
      </c>
      <c r="I117" s="11" t="str" cm="1">
        <f t="array" ref="I117">_xlfn.IFS(ChartTable[[#This Row],[Exluido?]]=1,"Excluido",ChartTable[[#This Row],[Novo?]]=1, "Novo", ChartTable[[#This Row],[Mudou?]]=1, "Mudou")</f>
        <v>Novo</v>
      </c>
    </row>
    <row r="118" spans="1:9" x14ac:dyDescent="0.25">
      <c r="A118" t="s">
        <v>127</v>
      </c>
      <c r="B118" s="10">
        <v>11994.079563754722</v>
      </c>
      <c r="C118" s="10"/>
      <c r="D118" s="11">
        <f>IF(AND(ChartTable[[#This Row],[Valor Encerrado]]=0, ChartTable[[#This Row],[Valor Ativo]]=""), 1, 0)</f>
        <v>0</v>
      </c>
      <c r="E118" s="11">
        <f>IF(AND(ChartTable[[#This Row],[Valor Ativo]]&lt;&gt;"", ChartTable[[#This Row],[Valor Encerrado]]=""), 1, 0)</f>
        <v>1</v>
      </c>
      <c r="F118" s="11">
        <f>IF(AND(ChartTable[[#This Row],[Novo?]]=0, ChartTable[[#This Row],[Valor Ativo]]&lt;&gt;ChartTable[[#This Row],[Valor Encerrado]]), 1, 0)</f>
        <v>0</v>
      </c>
      <c r="G118" s="18" t="str">
        <f>IF(ChartTable[[#This Row],[Mudou?]]=1, ChartTable[[#This Row],[Valor Encerrado]]-ChartTable[[#This Row],[Valor Ativo]], "")</f>
        <v/>
      </c>
      <c r="H118" s="11" t="str">
        <f>IF(ChartTable[[#This Row],[Mudou?]]=1, IF(ChartTable[[#This Row],[Diferença]]&gt;0, "aumentou", "diminuiu"), "")</f>
        <v/>
      </c>
      <c r="I118" s="11" t="str" cm="1">
        <f t="array" ref="I118">_xlfn.IFS(ChartTable[[#This Row],[Exluido?]]=1,"Excluido",ChartTable[[#This Row],[Novo?]]=1, "Novo", ChartTable[[#This Row],[Mudou?]]=1, "Mudou")</f>
        <v>Novo</v>
      </c>
    </row>
    <row r="119" spans="1:9" x14ac:dyDescent="0.25">
      <c r="A119" t="s">
        <v>128</v>
      </c>
      <c r="B119" s="10">
        <v>11994.079563754722</v>
      </c>
      <c r="C119" s="10"/>
      <c r="D119" s="11">
        <f>IF(AND(ChartTable[[#This Row],[Valor Encerrado]]=0, ChartTable[[#This Row],[Valor Ativo]]=""), 1, 0)</f>
        <v>0</v>
      </c>
      <c r="E119" s="11">
        <f>IF(AND(ChartTable[[#This Row],[Valor Ativo]]&lt;&gt;"", ChartTable[[#This Row],[Valor Encerrado]]=""), 1, 0)</f>
        <v>1</v>
      </c>
      <c r="F119" s="11">
        <f>IF(AND(ChartTable[[#This Row],[Novo?]]=0, ChartTable[[#This Row],[Valor Ativo]]&lt;&gt;ChartTable[[#This Row],[Valor Encerrado]]), 1, 0)</f>
        <v>0</v>
      </c>
      <c r="G119" s="18" t="str">
        <f>IF(ChartTable[[#This Row],[Mudou?]]=1, ChartTable[[#This Row],[Valor Encerrado]]-ChartTable[[#This Row],[Valor Ativo]], "")</f>
        <v/>
      </c>
      <c r="H119" s="11" t="str">
        <f>IF(ChartTable[[#This Row],[Mudou?]]=1, IF(ChartTable[[#This Row],[Diferença]]&gt;0, "aumentou", "diminuiu"), "")</f>
        <v/>
      </c>
      <c r="I119" s="11" t="str" cm="1">
        <f t="array" ref="I119">_xlfn.IFS(ChartTable[[#This Row],[Exluido?]]=1,"Excluido",ChartTable[[#This Row],[Novo?]]=1, "Novo", ChartTable[[#This Row],[Mudou?]]=1, "Mudou")</f>
        <v>Novo</v>
      </c>
    </row>
    <row r="120" spans="1:9" x14ac:dyDescent="0.25">
      <c r="A120" t="s">
        <v>129</v>
      </c>
      <c r="B120" s="10">
        <v>11994.079563754722</v>
      </c>
      <c r="C120" s="10"/>
      <c r="D120" s="11">
        <f>IF(AND(ChartTable[[#This Row],[Valor Encerrado]]=0, ChartTable[[#This Row],[Valor Ativo]]=""), 1, 0)</f>
        <v>0</v>
      </c>
      <c r="E120" s="11">
        <f>IF(AND(ChartTable[[#This Row],[Valor Ativo]]&lt;&gt;"", ChartTable[[#This Row],[Valor Encerrado]]=""), 1, 0)</f>
        <v>1</v>
      </c>
      <c r="F120" s="11">
        <f>IF(AND(ChartTable[[#This Row],[Novo?]]=0, ChartTable[[#This Row],[Valor Ativo]]&lt;&gt;ChartTable[[#This Row],[Valor Encerrado]]), 1, 0)</f>
        <v>0</v>
      </c>
      <c r="G120" s="18" t="str">
        <f>IF(ChartTable[[#This Row],[Mudou?]]=1, ChartTable[[#This Row],[Valor Encerrado]]-ChartTable[[#This Row],[Valor Ativo]], "")</f>
        <v/>
      </c>
      <c r="H120" s="11" t="str">
        <f>IF(ChartTable[[#This Row],[Mudou?]]=1, IF(ChartTable[[#This Row],[Diferença]]&gt;0, "aumentou", "diminuiu"), "")</f>
        <v/>
      </c>
      <c r="I120" s="11" t="str" cm="1">
        <f t="array" ref="I120">_xlfn.IFS(ChartTable[[#This Row],[Exluido?]]=1,"Excluido",ChartTable[[#This Row],[Novo?]]=1, "Novo", ChartTable[[#This Row],[Mudou?]]=1, "Mudou")</f>
        <v>Novo</v>
      </c>
    </row>
    <row r="121" spans="1:9" x14ac:dyDescent="0.25">
      <c r="A121" t="s">
        <v>130</v>
      </c>
      <c r="B121" s="10">
        <v>11994.079563754722</v>
      </c>
      <c r="C121" s="10"/>
      <c r="D121" s="11">
        <f>IF(AND(ChartTable[[#This Row],[Valor Encerrado]]=0, ChartTable[[#This Row],[Valor Ativo]]=""), 1, 0)</f>
        <v>0</v>
      </c>
      <c r="E121" s="11">
        <f>IF(AND(ChartTable[[#This Row],[Valor Ativo]]&lt;&gt;"", ChartTable[[#This Row],[Valor Encerrado]]=""), 1, 0)</f>
        <v>1</v>
      </c>
      <c r="F121" s="11">
        <f>IF(AND(ChartTable[[#This Row],[Novo?]]=0, ChartTable[[#This Row],[Valor Ativo]]&lt;&gt;ChartTable[[#This Row],[Valor Encerrado]]), 1, 0)</f>
        <v>0</v>
      </c>
      <c r="G121" s="18" t="str">
        <f>IF(ChartTable[[#This Row],[Mudou?]]=1, ChartTable[[#This Row],[Valor Encerrado]]-ChartTable[[#This Row],[Valor Ativo]], "")</f>
        <v/>
      </c>
      <c r="H121" s="11" t="str">
        <f>IF(ChartTable[[#This Row],[Mudou?]]=1, IF(ChartTable[[#This Row],[Diferença]]&gt;0, "aumentou", "diminuiu"), "")</f>
        <v/>
      </c>
      <c r="I121" s="11" t="str" cm="1">
        <f t="array" ref="I121">_xlfn.IFS(ChartTable[[#This Row],[Exluido?]]=1,"Excluido",ChartTable[[#This Row],[Novo?]]=1, "Novo", ChartTable[[#This Row],[Mudou?]]=1, "Mudou")</f>
        <v>Novo</v>
      </c>
    </row>
    <row r="122" spans="1:9" x14ac:dyDescent="0.25">
      <c r="A122" t="s">
        <v>131</v>
      </c>
      <c r="B122" s="10">
        <v>11994.079563754722</v>
      </c>
      <c r="C122" s="10"/>
      <c r="D122" s="11">
        <f>IF(AND(ChartTable[[#This Row],[Valor Encerrado]]=0, ChartTable[[#This Row],[Valor Ativo]]=""), 1, 0)</f>
        <v>0</v>
      </c>
      <c r="E122" s="11">
        <f>IF(AND(ChartTable[[#This Row],[Valor Ativo]]&lt;&gt;"", ChartTable[[#This Row],[Valor Encerrado]]=""), 1, 0)</f>
        <v>1</v>
      </c>
      <c r="F122" s="11">
        <f>IF(AND(ChartTable[[#This Row],[Novo?]]=0, ChartTable[[#This Row],[Valor Ativo]]&lt;&gt;ChartTable[[#This Row],[Valor Encerrado]]), 1, 0)</f>
        <v>0</v>
      </c>
      <c r="G122" s="18" t="str">
        <f>IF(ChartTable[[#This Row],[Mudou?]]=1, ChartTable[[#This Row],[Valor Encerrado]]-ChartTable[[#This Row],[Valor Ativo]], "")</f>
        <v/>
      </c>
      <c r="H122" s="11" t="str">
        <f>IF(ChartTable[[#This Row],[Mudou?]]=1, IF(ChartTable[[#This Row],[Diferença]]&gt;0, "aumentou", "diminuiu"), "")</f>
        <v/>
      </c>
      <c r="I122" s="11" t="str" cm="1">
        <f t="array" ref="I122">_xlfn.IFS(ChartTable[[#This Row],[Exluido?]]=1,"Excluido",ChartTable[[#This Row],[Novo?]]=1, "Novo", ChartTable[[#This Row],[Mudou?]]=1, "Mudou")</f>
        <v>Novo</v>
      </c>
    </row>
    <row r="123" spans="1:9" x14ac:dyDescent="0.25">
      <c r="A123" t="s">
        <v>132</v>
      </c>
      <c r="B123" s="10">
        <v>11994.079563754722</v>
      </c>
      <c r="C123" s="10"/>
      <c r="D123" s="11">
        <f>IF(AND(ChartTable[[#This Row],[Valor Encerrado]]=0, ChartTable[[#This Row],[Valor Ativo]]=""), 1, 0)</f>
        <v>0</v>
      </c>
      <c r="E123" s="11">
        <f>IF(AND(ChartTable[[#This Row],[Valor Ativo]]&lt;&gt;"", ChartTable[[#This Row],[Valor Encerrado]]=""), 1, 0)</f>
        <v>1</v>
      </c>
      <c r="F123" s="11">
        <f>IF(AND(ChartTable[[#This Row],[Novo?]]=0, ChartTable[[#This Row],[Valor Ativo]]&lt;&gt;ChartTable[[#This Row],[Valor Encerrado]]), 1, 0)</f>
        <v>0</v>
      </c>
      <c r="G123" s="18" t="str">
        <f>IF(ChartTable[[#This Row],[Mudou?]]=1, ChartTable[[#This Row],[Valor Encerrado]]-ChartTable[[#This Row],[Valor Ativo]], "")</f>
        <v/>
      </c>
      <c r="H123" s="11" t="str">
        <f>IF(ChartTable[[#This Row],[Mudou?]]=1, IF(ChartTable[[#This Row],[Diferença]]&gt;0, "aumentou", "diminuiu"), "")</f>
        <v/>
      </c>
      <c r="I123" s="11" t="str" cm="1">
        <f t="array" ref="I123">_xlfn.IFS(ChartTable[[#This Row],[Exluido?]]=1,"Excluido",ChartTable[[#This Row],[Novo?]]=1, "Novo", ChartTable[[#This Row],[Mudou?]]=1, "Mudou")</f>
        <v>Novo</v>
      </c>
    </row>
    <row r="124" spans="1:9" x14ac:dyDescent="0.25">
      <c r="A124" t="s">
        <v>133</v>
      </c>
      <c r="B124" s="10">
        <v>11994.079563754722</v>
      </c>
      <c r="C124" s="10"/>
      <c r="D124" s="11">
        <f>IF(AND(ChartTable[[#This Row],[Valor Encerrado]]=0, ChartTable[[#This Row],[Valor Ativo]]=""), 1, 0)</f>
        <v>0</v>
      </c>
      <c r="E124" s="11">
        <f>IF(AND(ChartTable[[#This Row],[Valor Ativo]]&lt;&gt;"", ChartTable[[#This Row],[Valor Encerrado]]=""), 1, 0)</f>
        <v>1</v>
      </c>
      <c r="F124" s="11">
        <f>IF(AND(ChartTable[[#This Row],[Novo?]]=0, ChartTable[[#This Row],[Valor Ativo]]&lt;&gt;ChartTable[[#This Row],[Valor Encerrado]]), 1, 0)</f>
        <v>0</v>
      </c>
      <c r="G124" s="18" t="str">
        <f>IF(ChartTable[[#This Row],[Mudou?]]=1, ChartTable[[#This Row],[Valor Encerrado]]-ChartTable[[#This Row],[Valor Ativo]], "")</f>
        <v/>
      </c>
      <c r="H124" s="11" t="str">
        <f>IF(ChartTable[[#This Row],[Mudou?]]=1, IF(ChartTable[[#This Row],[Diferença]]&gt;0, "aumentou", "diminuiu"), "")</f>
        <v/>
      </c>
      <c r="I124" s="11" t="str" cm="1">
        <f t="array" ref="I124">_xlfn.IFS(ChartTable[[#This Row],[Exluido?]]=1,"Excluido",ChartTable[[#This Row],[Novo?]]=1, "Novo", ChartTable[[#This Row],[Mudou?]]=1, "Mudou")</f>
        <v>Novo</v>
      </c>
    </row>
    <row r="125" spans="1:9" x14ac:dyDescent="0.25">
      <c r="A125" t="s">
        <v>134</v>
      </c>
      <c r="B125" s="10">
        <v>11994.079563754722</v>
      </c>
      <c r="C125" s="10"/>
      <c r="D125" s="11">
        <f>IF(AND(ChartTable[[#This Row],[Valor Encerrado]]=0, ChartTable[[#This Row],[Valor Ativo]]=""), 1, 0)</f>
        <v>0</v>
      </c>
      <c r="E125" s="11">
        <f>IF(AND(ChartTable[[#This Row],[Valor Ativo]]&lt;&gt;"", ChartTable[[#This Row],[Valor Encerrado]]=""), 1, 0)</f>
        <v>1</v>
      </c>
      <c r="F125" s="11">
        <f>IF(AND(ChartTable[[#This Row],[Novo?]]=0, ChartTable[[#This Row],[Valor Ativo]]&lt;&gt;ChartTable[[#This Row],[Valor Encerrado]]), 1, 0)</f>
        <v>0</v>
      </c>
      <c r="G125" s="18" t="str">
        <f>IF(ChartTable[[#This Row],[Mudou?]]=1, ChartTable[[#This Row],[Valor Encerrado]]-ChartTable[[#This Row],[Valor Ativo]], "")</f>
        <v/>
      </c>
      <c r="H125" s="11" t="str">
        <f>IF(ChartTable[[#This Row],[Mudou?]]=1, IF(ChartTable[[#This Row],[Diferença]]&gt;0, "aumentou", "diminuiu"), "")</f>
        <v/>
      </c>
      <c r="I125" s="11" t="str" cm="1">
        <f t="array" ref="I125">_xlfn.IFS(ChartTable[[#This Row],[Exluido?]]=1,"Excluido",ChartTable[[#This Row],[Novo?]]=1, "Novo", ChartTable[[#This Row],[Mudou?]]=1, "Mudou")</f>
        <v>Novo</v>
      </c>
    </row>
    <row r="126" spans="1:9" x14ac:dyDescent="0.25">
      <c r="A126" t="s">
        <v>135</v>
      </c>
      <c r="B126" s="10">
        <v>11994.079563754722</v>
      </c>
      <c r="C126" s="10"/>
      <c r="D126" s="11">
        <f>IF(AND(ChartTable[[#This Row],[Valor Encerrado]]=0, ChartTable[[#This Row],[Valor Ativo]]=""), 1, 0)</f>
        <v>0</v>
      </c>
      <c r="E126" s="11">
        <f>IF(AND(ChartTable[[#This Row],[Valor Ativo]]&lt;&gt;"", ChartTable[[#This Row],[Valor Encerrado]]=""), 1, 0)</f>
        <v>1</v>
      </c>
      <c r="F126" s="11">
        <f>IF(AND(ChartTable[[#This Row],[Novo?]]=0, ChartTable[[#This Row],[Valor Ativo]]&lt;&gt;ChartTable[[#This Row],[Valor Encerrado]]), 1, 0)</f>
        <v>0</v>
      </c>
      <c r="G126" s="18" t="str">
        <f>IF(ChartTable[[#This Row],[Mudou?]]=1, ChartTable[[#This Row],[Valor Encerrado]]-ChartTable[[#This Row],[Valor Ativo]], "")</f>
        <v/>
      </c>
      <c r="H126" s="11" t="str">
        <f>IF(ChartTable[[#This Row],[Mudou?]]=1, IF(ChartTable[[#This Row],[Diferença]]&gt;0, "aumentou", "diminuiu"), "")</f>
        <v/>
      </c>
      <c r="I126" s="11" t="str" cm="1">
        <f t="array" ref="I126">_xlfn.IFS(ChartTable[[#This Row],[Exluido?]]=1,"Excluido",ChartTable[[#This Row],[Novo?]]=1, "Novo", ChartTable[[#This Row],[Mudou?]]=1, "Mudou")</f>
        <v>Novo</v>
      </c>
    </row>
    <row r="127" spans="1:9" x14ac:dyDescent="0.25">
      <c r="A127" t="s">
        <v>136</v>
      </c>
      <c r="B127" s="10">
        <v>11994.079563754722</v>
      </c>
      <c r="C127" s="10"/>
      <c r="D127" s="11">
        <f>IF(AND(ChartTable[[#This Row],[Valor Encerrado]]=0, ChartTable[[#This Row],[Valor Ativo]]=""), 1, 0)</f>
        <v>0</v>
      </c>
      <c r="E127" s="11">
        <f>IF(AND(ChartTable[[#This Row],[Valor Ativo]]&lt;&gt;"", ChartTable[[#This Row],[Valor Encerrado]]=""), 1, 0)</f>
        <v>1</v>
      </c>
      <c r="F127" s="11">
        <f>IF(AND(ChartTable[[#This Row],[Novo?]]=0, ChartTable[[#This Row],[Valor Ativo]]&lt;&gt;ChartTable[[#This Row],[Valor Encerrado]]), 1, 0)</f>
        <v>0</v>
      </c>
      <c r="G127" s="18" t="str">
        <f>IF(ChartTable[[#This Row],[Mudou?]]=1, ChartTable[[#This Row],[Valor Encerrado]]-ChartTable[[#This Row],[Valor Ativo]], "")</f>
        <v/>
      </c>
      <c r="H127" s="11" t="str">
        <f>IF(ChartTable[[#This Row],[Mudou?]]=1, IF(ChartTable[[#This Row],[Diferença]]&gt;0, "aumentou", "diminuiu"), "")</f>
        <v/>
      </c>
      <c r="I127" s="11" t="str" cm="1">
        <f t="array" ref="I127">_xlfn.IFS(ChartTable[[#This Row],[Exluido?]]=1,"Excluido",ChartTable[[#This Row],[Novo?]]=1, "Novo", ChartTable[[#This Row],[Mudou?]]=1, "Mudou")</f>
        <v>Novo</v>
      </c>
    </row>
    <row r="128" spans="1:9" x14ac:dyDescent="0.25">
      <c r="A128" t="s">
        <v>137</v>
      </c>
      <c r="B128" s="10">
        <v>11994.079563754722</v>
      </c>
      <c r="C128" s="10"/>
      <c r="D128" s="11">
        <f>IF(AND(ChartTable[[#This Row],[Valor Encerrado]]=0, ChartTable[[#This Row],[Valor Ativo]]=""), 1, 0)</f>
        <v>0</v>
      </c>
      <c r="E128" s="11">
        <f>IF(AND(ChartTable[[#This Row],[Valor Ativo]]&lt;&gt;"", ChartTable[[#This Row],[Valor Encerrado]]=""), 1, 0)</f>
        <v>1</v>
      </c>
      <c r="F128" s="11">
        <f>IF(AND(ChartTable[[#This Row],[Novo?]]=0, ChartTable[[#This Row],[Valor Ativo]]&lt;&gt;ChartTable[[#This Row],[Valor Encerrado]]), 1, 0)</f>
        <v>0</v>
      </c>
      <c r="G128" s="18" t="str">
        <f>IF(ChartTable[[#This Row],[Mudou?]]=1, ChartTable[[#This Row],[Valor Encerrado]]-ChartTable[[#This Row],[Valor Ativo]], "")</f>
        <v/>
      </c>
      <c r="H128" s="11" t="str">
        <f>IF(ChartTable[[#This Row],[Mudou?]]=1, IF(ChartTable[[#This Row],[Diferença]]&gt;0, "aumentou", "diminuiu"), "")</f>
        <v/>
      </c>
      <c r="I128" s="11" t="str" cm="1">
        <f t="array" ref="I128">_xlfn.IFS(ChartTable[[#This Row],[Exluido?]]=1,"Excluido",ChartTable[[#This Row],[Novo?]]=1, "Novo", ChartTable[[#This Row],[Mudou?]]=1, "Mudou")</f>
        <v>Novo</v>
      </c>
    </row>
    <row r="129" spans="1:9" x14ac:dyDescent="0.25">
      <c r="A129" t="s">
        <v>138</v>
      </c>
      <c r="B129" s="10">
        <v>11994.079563754722</v>
      </c>
      <c r="C129" s="10"/>
      <c r="D129" s="11">
        <f>IF(AND(ChartTable[[#This Row],[Valor Encerrado]]=0, ChartTable[[#This Row],[Valor Ativo]]=""), 1, 0)</f>
        <v>0</v>
      </c>
      <c r="E129" s="11">
        <f>IF(AND(ChartTable[[#This Row],[Valor Ativo]]&lt;&gt;"", ChartTable[[#This Row],[Valor Encerrado]]=""), 1, 0)</f>
        <v>1</v>
      </c>
      <c r="F129" s="11">
        <f>IF(AND(ChartTable[[#This Row],[Novo?]]=0, ChartTable[[#This Row],[Valor Ativo]]&lt;&gt;ChartTable[[#This Row],[Valor Encerrado]]), 1, 0)</f>
        <v>0</v>
      </c>
      <c r="G129" s="18" t="str">
        <f>IF(ChartTable[[#This Row],[Mudou?]]=1, ChartTable[[#This Row],[Valor Encerrado]]-ChartTable[[#This Row],[Valor Ativo]], "")</f>
        <v/>
      </c>
      <c r="H129" s="11" t="str">
        <f>IF(ChartTable[[#This Row],[Mudou?]]=1, IF(ChartTable[[#This Row],[Diferença]]&gt;0, "aumentou", "diminuiu"), "")</f>
        <v/>
      </c>
      <c r="I129" s="11" t="str" cm="1">
        <f t="array" ref="I129">_xlfn.IFS(ChartTable[[#This Row],[Exluido?]]=1,"Excluido",ChartTable[[#This Row],[Novo?]]=1, "Novo", ChartTable[[#This Row],[Mudou?]]=1, "Mudou")</f>
        <v>Novo</v>
      </c>
    </row>
    <row r="130" spans="1:9" x14ac:dyDescent="0.25">
      <c r="A130" t="s">
        <v>139</v>
      </c>
      <c r="B130" s="10">
        <v>11994.079563754722</v>
      </c>
      <c r="C130" s="10"/>
      <c r="D130" s="11">
        <f>IF(AND(ChartTable[[#This Row],[Valor Encerrado]]=0, ChartTable[[#This Row],[Valor Ativo]]=""), 1, 0)</f>
        <v>0</v>
      </c>
      <c r="E130" s="11">
        <f>IF(AND(ChartTable[[#This Row],[Valor Ativo]]&lt;&gt;"", ChartTable[[#This Row],[Valor Encerrado]]=""), 1, 0)</f>
        <v>1</v>
      </c>
      <c r="F130" s="11">
        <f>IF(AND(ChartTable[[#This Row],[Novo?]]=0, ChartTable[[#This Row],[Valor Ativo]]&lt;&gt;ChartTable[[#This Row],[Valor Encerrado]]), 1, 0)</f>
        <v>0</v>
      </c>
      <c r="G130" s="18" t="str">
        <f>IF(ChartTable[[#This Row],[Mudou?]]=1, ChartTable[[#This Row],[Valor Encerrado]]-ChartTable[[#This Row],[Valor Ativo]], "")</f>
        <v/>
      </c>
      <c r="H130" s="11" t="str">
        <f>IF(ChartTable[[#This Row],[Mudou?]]=1, IF(ChartTable[[#This Row],[Diferença]]&gt;0, "aumentou", "diminuiu"), "")</f>
        <v/>
      </c>
      <c r="I130" s="11" t="str" cm="1">
        <f t="array" ref="I130">_xlfn.IFS(ChartTable[[#This Row],[Exluido?]]=1,"Excluido",ChartTable[[#This Row],[Novo?]]=1, "Novo", ChartTable[[#This Row],[Mudou?]]=1, "Mudou")</f>
        <v>Novo</v>
      </c>
    </row>
    <row r="131" spans="1:9" x14ac:dyDescent="0.25">
      <c r="A131" t="s">
        <v>140</v>
      </c>
      <c r="B131" s="10">
        <v>11994.079563754722</v>
      </c>
      <c r="C131" s="10"/>
      <c r="D131" s="11">
        <f>IF(AND(ChartTable[[#This Row],[Valor Encerrado]]=0, ChartTable[[#This Row],[Valor Ativo]]=""), 1, 0)</f>
        <v>0</v>
      </c>
      <c r="E131" s="11">
        <f>IF(AND(ChartTable[[#This Row],[Valor Ativo]]&lt;&gt;"", ChartTable[[#This Row],[Valor Encerrado]]=""), 1, 0)</f>
        <v>1</v>
      </c>
      <c r="F131" s="11">
        <f>IF(AND(ChartTable[[#This Row],[Novo?]]=0, ChartTable[[#This Row],[Valor Ativo]]&lt;&gt;ChartTable[[#This Row],[Valor Encerrado]]), 1, 0)</f>
        <v>0</v>
      </c>
      <c r="G131" s="18" t="str">
        <f>IF(ChartTable[[#This Row],[Mudou?]]=1, ChartTable[[#This Row],[Valor Encerrado]]-ChartTable[[#This Row],[Valor Ativo]], "")</f>
        <v/>
      </c>
      <c r="H131" s="11" t="str">
        <f>IF(ChartTable[[#This Row],[Mudou?]]=1, IF(ChartTable[[#This Row],[Diferença]]&gt;0, "aumentou", "diminuiu"), "")</f>
        <v/>
      </c>
      <c r="I131" s="11" t="str" cm="1">
        <f t="array" ref="I131">_xlfn.IFS(ChartTable[[#This Row],[Exluido?]]=1,"Excluido",ChartTable[[#This Row],[Novo?]]=1, "Novo", ChartTable[[#This Row],[Mudou?]]=1, "Mudou")</f>
        <v>Novo</v>
      </c>
    </row>
    <row r="132" spans="1:9" x14ac:dyDescent="0.25">
      <c r="A132" t="s">
        <v>141</v>
      </c>
      <c r="B132" s="10">
        <v>11994.079563754722</v>
      </c>
      <c r="C132" s="10"/>
      <c r="D132" s="11">
        <f>IF(AND(ChartTable[[#This Row],[Valor Encerrado]]=0, ChartTable[[#This Row],[Valor Ativo]]=""), 1, 0)</f>
        <v>0</v>
      </c>
      <c r="E132" s="11">
        <f>IF(AND(ChartTable[[#This Row],[Valor Ativo]]&lt;&gt;"", ChartTable[[#This Row],[Valor Encerrado]]=""), 1, 0)</f>
        <v>1</v>
      </c>
      <c r="F132" s="11">
        <f>IF(AND(ChartTable[[#This Row],[Novo?]]=0, ChartTable[[#This Row],[Valor Ativo]]&lt;&gt;ChartTable[[#This Row],[Valor Encerrado]]), 1, 0)</f>
        <v>0</v>
      </c>
      <c r="G132" s="18" t="str">
        <f>IF(ChartTable[[#This Row],[Mudou?]]=1, ChartTable[[#This Row],[Valor Encerrado]]-ChartTable[[#This Row],[Valor Ativo]], "")</f>
        <v/>
      </c>
      <c r="H132" s="11" t="str">
        <f>IF(ChartTable[[#This Row],[Mudou?]]=1, IF(ChartTable[[#This Row],[Diferença]]&gt;0, "aumentou", "diminuiu"), "")</f>
        <v/>
      </c>
      <c r="I132" s="11" t="str" cm="1">
        <f t="array" ref="I132">_xlfn.IFS(ChartTable[[#This Row],[Exluido?]]=1,"Excluido",ChartTable[[#This Row],[Novo?]]=1, "Novo", ChartTable[[#This Row],[Mudou?]]=1, "Mudou")</f>
        <v>Novo</v>
      </c>
    </row>
    <row r="133" spans="1:9" x14ac:dyDescent="0.25">
      <c r="A133" t="s">
        <v>142</v>
      </c>
      <c r="B133" s="10">
        <v>11994.079563754722</v>
      </c>
      <c r="C133" s="10"/>
      <c r="D133" s="11">
        <f>IF(AND(ChartTable[[#This Row],[Valor Encerrado]]=0, ChartTable[[#This Row],[Valor Ativo]]=""), 1, 0)</f>
        <v>0</v>
      </c>
      <c r="E133" s="11">
        <f>IF(AND(ChartTable[[#This Row],[Valor Ativo]]&lt;&gt;"", ChartTable[[#This Row],[Valor Encerrado]]=""), 1, 0)</f>
        <v>1</v>
      </c>
      <c r="F133" s="11">
        <f>IF(AND(ChartTable[[#This Row],[Novo?]]=0, ChartTable[[#This Row],[Valor Ativo]]&lt;&gt;ChartTable[[#This Row],[Valor Encerrado]]), 1, 0)</f>
        <v>0</v>
      </c>
      <c r="G133" s="18" t="str">
        <f>IF(ChartTable[[#This Row],[Mudou?]]=1, ChartTable[[#This Row],[Valor Encerrado]]-ChartTable[[#This Row],[Valor Ativo]], "")</f>
        <v/>
      </c>
      <c r="H133" s="11" t="str">
        <f>IF(ChartTable[[#This Row],[Mudou?]]=1, IF(ChartTable[[#This Row],[Diferença]]&gt;0, "aumentou", "diminuiu"), "")</f>
        <v/>
      </c>
      <c r="I133" s="11" t="str" cm="1">
        <f t="array" ref="I133">_xlfn.IFS(ChartTable[[#This Row],[Exluido?]]=1,"Excluido",ChartTable[[#This Row],[Novo?]]=1, "Novo", ChartTable[[#This Row],[Mudou?]]=1, "Mudou")</f>
        <v>Novo</v>
      </c>
    </row>
    <row r="134" spans="1:9" x14ac:dyDescent="0.25">
      <c r="A134" t="s">
        <v>143</v>
      </c>
      <c r="B134" s="10">
        <v>11994.079563754722</v>
      </c>
      <c r="C134" s="10"/>
      <c r="D134" s="11">
        <f>IF(AND(ChartTable[[#This Row],[Valor Encerrado]]=0, ChartTable[[#This Row],[Valor Ativo]]=""), 1, 0)</f>
        <v>0</v>
      </c>
      <c r="E134" s="11">
        <f>IF(AND(ChartTable[[#This Row],[Valor Ativo]]&lt;&gt;"", ChartTable[[#This Row],[Valor Encerrado]]=""), 1, 0)</f>
        <v>1</v>
      </c>
      <c r="F134" s="11">
        <f>IF(AND(ChartTable[[#This Row],[Novo?]]=0, ChartTable[[#This Row],[Valor Ativo]]&lt;&gt;ChartTable[[#This Row],[Valor Encerrado]]), 1, 0)</f>
        <v>0</v>
      </c>
      <c r="G134" s="18" t="str">
        <f>IF(ChartTable[[#This Row],[Mudou?]]=1, ChartTable[[#This Row],[Valor Encerrado]]-ChartTable[[#This Row],[Valor Ativo]], "")</f>
        <v/>
      </c>
      <c r="H134" s="11" t="str">
        <f>IF(ChartTable[[#This Row],[Mudou?]]=1, IF(ChartTable[[#This Row],[Diferença]]&gt;0, "aumentou", "diminuiu"), "")</f>
        <v/>
      </c>
      <c r="I134" s="11" t="str" cm="1">
        <f t="array" ref="I134">_xlfn.IFS(ChartTable[[#This Row],[Exluido?]]=1,"Excluido",ChartTable[[#This Row],[Novo?]]=1, "Novo", ChartTable[[#This Row],[Mudou?]]=1, "Mudou")</f>
        <v>Novo</v>
      </c>
    </row>
    <row r="135" spans="1:9" x14ac:dyDescent="0.25">
      <c r="A135" t="s">
        <v>144</v>
      </c>
      <c r="B135" s="10">
        <v>11994.079563754722</v>
      </c>
      <c r="C135" s="10"/>
      <c r="D135" s="11">
        <f>IF(AND(ChartTable[[#This Row],[Valor Encerrado]]=0, ChartTable[[#This Row],[Valor Ativo]]=""), 1, 0)</f>
        <v>0</v>
      </c>
      <c r="E135" s="11">
        <f>IF(AND(ChartTable[[#This Row],[Valor Ativo]]&lt;&gt;"", ChartTable[[#This Row],[Valor Encerrado]]=""), 1, 0)</f>
        <v>1</v>
      </c>
      <c r="F135" s="11">
        <f>IF(AND(ChartTable[[#This Row],[Novo?]]=0, ChartTable[[#This Row],[Valor Ativo]]&lt;&gt;ChartTable[[#This Row],[Valor Encerrado]]), 1, 0)</f>
        <v>0</v>
      </c>
      <c r="G135" s="18" t="str">
        <f>IF(ChartTable[[#This Row],[Mudou?]]=1, ChartTable[[#This Row],[Valor Encerrado]]-ChartTable[[#This Row],[Valor Ativo]], "")</f>
        <v/>
      </c>
      <c r="H135" s="11" t="str">
        <f>IF(ChartTable[[#This Row],[Mudou?]]=1, IF(ChartTable[[#This Row],[Diferença]]&gt;0, "aumentou", "diminuiu"), "")</f>
        <v/>
      </c>
      <c r="I135" s="11" t="str" cm="1">
        <f t="array" ref="I135">_xlfn.IFS(ChartTable[[#This Row],[Exluido?]]=1,"Excluido",ChartTable[[#This Row],[Novo?]]=1, "Novo", ChartTable[[#This Row],[Mudou?]]=1, "Mudou")</f>
        <v>Novo</v>
      </c>
    </row>
    <row r="136" spans="1:9" x14ac:dyDescent="0.25">
      <c r="A136" t="s">
        <v>145</v>
      </c>
      <c r="B136" s="10">
        <v>11994.079563754722</v>
      </c>
      <c r="C136" s="10"/>
      <c r="D136" s="11">
        <f>IF(AND(ChartTable[[#This Row],[Valor Encerrado]]=0, ChartTable[[#This Row],[Valor Ativo]]=""), 1, 0)</f>
        <v>0</v>
      </c>
      <c r="E136" s="11">
        <f>IF(AND(ChartTable[[#This Row],[Valor Ativo]]&lt;&gt;"", ChartTable[[#This Row],[Valor Encerrado]]=""), 1, 0)</f>
        <v>1</v>
      </c>
      <c r="F136" s="11">
        <f>IF(AND(ChartTable[[#This Row],[Novo?]]=0, ChartTable[[#This Row],[Valor Ativo]]&lt;&gt;ChartTable[[#This Row],[Valor Encerrado]]), 1, 0)</f>
        <v>0</v>
      </c>
      <c r="G136" s="18" t="str">
        <f>IF(ChartTable[[#This Row],[Mudou?]]=1, ChartTable[[#This Row],[Valor Encerrado]]-ChartTable[[#This Row],[Valor Ativo]], "")</f>
        <v/>
      </c>
      <c r="H136" s="11" t="str">
        <f>IF(ChartTable[[#This Row],[Mudou?]]=1, IF(ChartTable[[#This Row],[Diferença]]&gt;0, "aumentou", "diminuiu"), "")</f>
        <v/>
      </c>
      <c r="I136" s="11" t="str" cm="1">
        <f t="array" ref="I136">_xlfn.IFS(ChartTable[[#This Row],[Exluido?]]=1,"Excluido",ChartTable[[#This Row],[Novo?]]=1, "Novo", ChartTable[[#This Row],[Mudou?]]=1, "Mudou")</f>
        <v>Novo</v>
      </c>
    </row>
    <row r="137" spans="1:9" x14ac:dyDescent="0.25">
      <c r="A137" t="s">
        <v>146</v>
      </c>
      <c r="B137" s="10">
        <v>11994.079563754722</v>
      </c>
      <c r="C137" s="10"/>
      <c r="D137" s="11">
        <f>IF(AND(ChartTable[[#This Row],[Valor Encerrado]]=0, ChartTable[[#This Row],[Valor Ativo]]=""), 1, 0)</f>
        <v>0</v>
      </c>
      <c r="E137" s="11">
        <f>IF(AND(ChartTable[[#This Row],[Valor Ativo]]&lt;&gt;"", ChartTable[[#This Row],[Valor Encerrado]]=""), 1, 0)</f>
        <v>1</v>
      </c>
      <c r="F137" s="11">
        <f>IF(AND(ChartTable[[#This Row],[Novo?]]=0, ChartTable[[#This Row],[Valor Ativo]]&lt;&gt;ChartTable[[#This Row],[Valor Encerrado]]), 1, 0)</f>
        <v>0</v>
      </c>
      <c r="G137" s="18" t="str">
        <f>IF(ChartTable[[#This Row],[Mudou?]]=1, ChartTable[[#This Row],[Valor Encerrado]]-ChartTable[[#This Row],[Valor Ativo]], "")</f>
        <v/>
      </c>
      <c r="H137" s="11" t="str">
        <f>IF(ChartTable[[#This Row],[Mudou?]]=1, IF(ChartTable[[#This Row],[Diferença]]&gt;0, "aumentou", "diminuiu"), "")</f>
        <v/>
      </c>
      <c r="I137" s="11" t="str" cm="1">
        <f t="array" ref="I137">_xlfn.IFS(ChartTable[[#This Row],[Exluido?]]=1,"Excluido",ChartTable[[#This Row],[Novo?]]=1, "Novo", ChartTable[[#This Row],[Mudou?]]=1, "Mudou")</f>
        <v>Novo</v>
      </c>
    </row>
    <row r="138" spans="1:9" x14ac:dyDescent="0.25">
      <c r="A138" t="s">
        <v>147</v>
      </c>
      <c r="B138" s="10">
        <v>11994.079563754722</v>
      </c>
      <c r="C138" s="10"/>
      <c r="D138" s="11">
        <f>IF(AND(ChartTable[[#This Row],[Valor Encerrado]]=0, ChartTable[[#This Row],[Valor Ativo]]=""), 1, 0)</f>
        <v>0</v>
      </c>
      <c r="E138" s="11">
        <f>IF(AND(ChartTable[[#This Row],[Valor Ativo]]&lt;&gt;"", ChartTable[[#This Row],[Valor Encerrado]]=""), 1, 0)</f>
        <v>1</v>
      </c>
      <c r="F138" s="11">
        <f>IF(AND(ChartTable[[#This Row],[Novo?]]=0, ChartTable[[#This Row],[Valor Ativo]]&lt;&gt;ChartTable[[#This Row],[Valor Encerrado]]), 1, 0)</f>
        <v>0</v>
      </c>
      <c r="G138" s="18" t="str">
        <f>IF(ChartTable[[#This Row],[Mudou?]]=1, ChartTable[[#This Row],[Valor Encerrado]]-ChartTable[[#This Row],[Valor Ativo]], "")</f>
        <v/>
      </c>
      <c r="H138" s="11" t="str">
        <f>IF(ChartTable[[#This Row],[Mudou?]]=1, IF(ChartTable[[#This Row],[Diferença]]&gt;0, "aumentou", "diminuiu"), "")</f>
        <v/>
      </c>
      <c r="I138" s="11" t="str" cm="1">
        <f t="array" ref="I138">_xlfn.IFS(ChartTable[[#This Row],[Exluido?]]=1,"Excluido",ChartTable[[#This Row],[Novo?]]=1, "Novo", ChartTable[[#This Row],[Mudou?]]=1, "Mudou")</f>
        <v>Novo</v>
      </c>
    </row>
    <row r="139" spans="1:9" x14ac:dyDescent="0.25">
      <c r="A139" t="s">
        <v>148</v>
      </c>
      <c r="B139" s="10">
        <v>11994.079563754722</v>
      </c>
      <c r="C139" s="10"/>
      <c r="D139" s="11">
        <f>IF(AND(ChartTable[[#This Row],[Valor Encerrado]]=0, ChartTable[[#This Row],[Valor Ativo]]=""), 1, 0)</f>
        <v>0</v>
      </c>
      <c r="E139" s="11">
        <f>IF(AND(ChartTable[[#This Row],[Valor Ativo]]&lt;&gt;"", ChartTable[[#This Row],[Valor Encerrado]]=""), 1, 0)</f>
        <v>1</v>
      </c>
      <c r="F139" s="11">
        <f>IF(AND(ChartTable[[#This Row],[Novo?]]=0, ChartTable[[#This Row],[Valor Ativo]]&lt;&gt;ChartTable[[#This Row],[Valor Encerrado]]), 1, 0)</f>
        <v>0</v>
      </c>
      <c r="G139" s="18" t="str">
        <f>IF(ChartTable[[#This Row],[Mudou?]]=1, ChartTable[[#This Row],[Valor Encerrado]]-ChartTable[[#This Row],[Valor Ativo]], "")</f>
        <v/>
      </c>
      <c r="H139" s="11" t="str">
        <f>IF(ChartTable[[#This Row],[Mudou?]]=1, IF(ChartTable[[#This Row],[Diferença]]&gt;0, "aumentou", "diminuiu"), "")</f>
        <v/>
      </c>
      <c r="I139" s="11" t="str" cm="1">
        <f t="array" ref="I139">_xlfn.IFS(ChartTable[[#This Row],[Exluido?]]=1,"Excluido",ChartTable[[#This Row],[Novo?]]=1, "Novo", ChartTable[[#This Row],[Mudou?]]=1, "Mudou")</f>
        <v>Novo</v>
      </c>
    </row>
    <row r="140" spans="1:9" x14ac:dyDescent="0.25">
      <c r="A140" t="s">
        <v>149</v>
      </c>
      <c r="B140" s="10">
        <v>11994.079563754722</v>
      </c>
      <c r="C140" s="10"/>
      <c r="D140" s="11">
        <f>IF(AND(ChartTable[[#This Row],[Valor Encerrado]]=0, ChartTable[[#This Row],[Valor Ativo]]=""), 1, 0)</f>
        <v>0</v>
      </c>
      <c r="E140" s="11">
        <f>IF(AND(ChartTable[[#This Row],[Valor Ativo]]&lt;&gt;"", ChartTable[[#This Row],[Valor Encerrado]]=""), 1, 0)</f>
        <v>1</v>
      </c>
      <c r="F140" s="11">
        <f>IF(AND(ChartTable[[#This Row],[Novo?]]=0, ChartTable[[#This Row],[Valor Ativo]]&lt;&gt;ChartTable[[#This Row],[Valor Encerrado]]), 1, 0)</f>
        <v>0</v>
      </c>
      <c r="G140" s="18" t="str">
        <f>IF(ChartTable[[#This Row],[Mudou?]]=1, ChartTable[[#This Row],[Valor Encerrado]]-ChartTable[[#This Row],[Valor Ativo]], "")</f>
        <v/>
      </c>
      <c r="H140" s="11" t="str">
        <f>IF(ChartTable[[#This Row],[Mudou?]]=1, IF(ChartTable[[#This Row],[Diferença]]&gt;0, "aumentou", "diminuiu"), "")</f>
        <v/>
      </c>
      <c r="I140" s="11" t="str" cm="1">
        <f t="array" ref="I140">_xlfn.IFS(ChartTable[[#This Row],[Exluido?]]=1,"Excluido",ChartTable[[#This Row],[Novo?]]=1, "Novo", ChartTable[[#This Row],[Mudou?]]=1, "Mudou")</f>
        <v>Novo</v>
      </c>
    </row>
    <row r="141" spans="1:9" x14ac:dyDescent="0.25">
      <c r="A141" t="s">
        <v>150</v>
      </c>
      <c r="B141" s="10">
        <v>11994.079563754722</v>
      </c>
      <c r="C141" s="10"/>
      <c r="D141" s="11">
        <f>IF(AND(ChartTable[[#This Row],[Valor Encerrado]]=0, ChartTable[[#This Row],[Valor Ativo]]=""), 1, 0)</f>
        <v>0</v>
      </c>
      <c r="E141" s="11">
        <f>IF(AND(ChartTable[[#This Row],[Valor Ativo]]&lt;&gt;"", ChartTable[[#This Row],[Valor Encerrado]]=""), 1, 0)</f>
        <v>1</v>
      </c>
      <c r="F141" s="11">
        <f>IF(AND(ChartTable[[#This Row],[Novo?]]=0, ChartTable[[#This Row],[Valor Ativo]]&lt;&gt;ChartTable[[#This Row],[Valor Encerrado]]), 1, 0)</f>
        <v>0</v>
      </c>
      <c r="G141" s="18" t="str">
        <f>IF(ChartTable[[#This Row],[Mudou?]]=1, ChartTable[[#This Row],[Valor Encerrado]]-ChartTable[[#This Row],[Valor Ativo]], "")</f>
        <v/>
      </c>
      <c r="H141" s="11" t="str">
        <f>IF(ChartTable[[#This Row],[Mudou?]]=1, IF(ChartTable[[#This Row],[Diferença]]&gt;0, "aumentou", "diminuiu"), "")</f>
        <v/>
      </c>
      <c r="I141" s="11" t="str" cm="1">
        <f t="array" ref="I141">_xlfn.IFS(ChartTable[[#This Row],[Exluido?]]=1,"Excluido",ChartTable[[#This Row],[Novo?]]=1, "Novo", ChartTable[[#This Row],[Mudou?]]=1, "Mudou")</f>
        <v>Novo</v>
      </c>
    </row>
    <row r="142" spans="1:9" x14ac:dyDescent="0.25">
      <c r="A142" t="s">
        <v>151</v>
      </c>
      <c r="B142" s="10">
        <v>11994.079563754722</v>
      </c>
      <c r="C142" s="10"/>
      <c r="D142" s="11">
        <f>IF(AND(ChartTable[[#This Row],[Valor Encerrado]]=0, ChartTable[[#This Row],[Valor Ativo]]=""), 1, 0)</f>
        <v>0</v>
      </c>
      <c r="E142" s="11">
        <f>IF(AND(ChartTable[[#This Row],[Valor Ativo]]&lt;&gt;"", ChartTable[[#This Row],[Valor Encerrado]]=""), 1, 0)</f>
        <v>1</v>
      </c>
      <c r="F142" s="11">
        <f>IF(AND(ChartTable[[#This Row],[Novo?]]=0, ChartTable[[#This Row],[Valor Ativo]]&lt;&gt;ChartTable[[#This Row],[Valor Encerrado]]), 1, 0)</f>
        <v>0</v>
      </c>
      <c r="G142" s="18" t="str">
        <f>IF(ChartTable[[#This Row],[Mudou?]]=1, ChartTable[[#This Row],[Valor Encerrado]]-ChartTable[[#This Row],[Valor Ativo]], "")</f>
        <v/>
      </c>
      <c r="H142" s="11" t="str">
        <f>IF(ChartTable[[#This Row],[Mudou?]]=1, IF(ChartTable[[#This Row],[Diferença]]&gt;0, "aumentou", "diminuiu"), "")</f>
        <v/>
      </c>
      <c r="I142" s="11" t="str" cm="1">
        <f t="array" ref="I142">_xlfn.IFS(ChartTable[[#This Row],[Exluido?]]=1,"Excluido",ChartTable[[#This Row],[Novo?]]=1, "Novo", ChartTable[[#This Row],[Mudou?]]=1, "Mudou")</f>
        <v>Novo</v>
      </c>
    </row>
    <row r="143" spans="1:9" x14ac:dyDescent="0.25">
      <c r="A143" t="s">
        <v>152</v>
      </c>
      <c r="B143" s="10">
        <v>11994.079563754722</v>
      </c>
      <c r="C143" s="10"/>
      <c r="D143" s="11">
        <f>IF(AND(ChartTable[[#This Row],[Valor Encerrado]]=0, ChartTable[[#This Row],[Valor Ativo]]=""), 1, 0)</f>
        <v>0</v>
      </c>
      <c r="E143" s="11">
        <f>IF(AND(ChartTable[[#This Row],[Valor Ativo]]&lt;&gt;"", ChartTable[[#This Row],[Valor Encerrado]]=""), 1, 0)</f>
        <v>1</v>
      </c>
      <c r="F143" s="11">
        <f>IF(AND(ChartTable[[#This Row],[Novo?]]=0, ChartTable[[#This Row],[Valor Ativo]]&lt;&gt;ChartTable[[#This Row],[Valor Encerrado]]), 1, 0)</f>
        <v>0</v>
      </c>
      <c r="G143" s="18" t="str">
        <f>IF(ChartTable[[#This Row],[Mudou?]]=1, ChartTable[[#This Row],[Valor Encerrado]]-ChartTable[[#This Row],[Valor Ativo]], "")</f>
        <v/>
      </c>
      <c r="H143" s="11" t="str">
        <f>IF(ChartTable[[#This Row],[Mudou?]]=1, IF(ChartTable[[#This Row],[Diferença]]&gt;0, "aumentou", "diminuiu"), "")</f>
        <v/>
      </c>
      <c r="I143" s="11" t="str" cm="1">
        <f t="array" ref="I143">_xlfn.IFS(ChartTable[[#This Row],[Exluido?]]=1,"Excluido",ChartTable[[#This Row],[Novo?]]=1, "Novo", ChartTable[[#This Row],[Mudou?]]=1, "Mudou")</f>
        <v>Novo</v>
      </c>
    </row>
    <row r="144" spans="1:9" x14ac:dyDescent="0.25">
      <c r="A144" t="s">
        <v>153</v>
      </c>
      <c r="B144" s="10">
        <v>11994.079563754722</v>
      </c>
      <c r="C144" s="10"/>
      <c r="D144" s="11">
        <f>IF(AND(ChartTable[[#This Row],[Valor Encerrado]]=0, ChartTable[[#This Row],[Valor Ativo]]=""), 1, 0)</f>
        <v>0</v>
      </c>
      <c r="E144" s="11">
        <f>IF(AND(ChartTable[[#This Row],[Valor Ativo]]&lt;&gt;"", ChartTable[[#This Row],[Valor Encerrado]]=""), 1, 0)</f>
        <v>1</v>
      </c>
      <c r="F144" s="11">
        <f>IF(AND(ChartTable[[#This Row],[Novo?]]=0, ChartTable[[#This Row],[Valor Ativo]]&lt;&gt;ChartTable[[#This Row],[Valor Encerrado]]), 1, 0)</f>
        <v>0</v>
      </c>
      <c r="G144" s="18" t="str">
        <f>IF(ChartTable[[#This Row],[Mudou?]]=1, ChartTable[[#This Row],[Valor Encerrado]]-ChartTable[[#This Row],[Valor Ativo]], "")</f>
        <v/>
      </c>
      <c r="H144" s="11" t="str">
        <f>IF(ChartTable[[#This Row],[Mudou?]]=1, IF(ChartTable[[#This Row],[Diferença]]&gt;0, "aumentou", "diminuiu"), "")</f>
        <v/>
      </c>
      <c r="I144" s="11" t="str" cm="1">
        <f t="array" ref="I144">_xlfn.IFS(ChartTable[[#This Row],[Exluido?]]=1,"Excluido",ChartTable[[#This Row],[Novo?]]=1, "Novo", ChartTable[[#This Row],[Mudou?]]=1, "Mudou")</f>
        <v>Novo</v>
      </c>
    </row>
    <row r="145" spans="1:9" x14ac:dyDescent="0.25">
      <c r="A145" t="s">
        <v>154</v>
      </c>
      <c r="B145" s="10">
        <v>11994.079563754722</v>
      </c>
      <c r="C145" s="10"/>
      <c r="D145" s="11">
        <f>IF(AND(ChartTable[[#This Row],[Valor Encerrado]]=0, ChartTable[[#This Row],[Valor Ativo]]=""), 1, 0)</f>
        <v>0</v>
      </c>
      <c r="E145" s="11">
        <f>IF(AND(ChartTable[[#This Row],[Valor Ativo]]&lt;&gt;"", ChartTable[[#This Row],[Valor Encerrado]]=""), 1, 0)</f>
        <v>1</v>
      </c>
      <c r="F145" s="11">
        <f>IF(AND(ChartTable[[#This Row],[Novo?]]=0, ChartTable[[#This Row],[Valor Ativo]]&lt;&gt;ChartTable[[#This Row],[Valor Encerrado]]), 1, 0)</f>
        <v>0</v>
      </c>
      <c r="G145" s="18" t="str">
        <f>IF(ChartTable[[#This Row],[Mudou?]]=1, ChartTable[[#This Row],[Valor Encerrado]]-ChartTable[[#This Row],[Valor Ativo]], "")</f>
        <v/>
      </c>
      <c r="H145" s="11" t="str">
        <f>IF(ChartTable[[#This Row],[Mudou?]]=1, IF(ChartTable[[#This Row],[Diferença]]&gt;0, "aumentou", "diminuiu"), "")</f>
        <v/>
      </c>
      <c r="I145" s="11" t="str" cm="1">
        <f t="array" ref="I145">_xlfn.IFS(ChartTable[[#This Row],[Exluido?]]=1,"Excluido",ChartTable[[#This Row],[Novo?]]=1, "Novo", ChartTable[[#This Row],[Mudou?]]=1, "Mudou")</f>
        <v>Novo</v>
      </c>
    </row>
    <row r="146" spans="1:9" x14ac:dyDescent="0.25">
      <c r="A146" t="s">
        <v>155</v>
      </c>
      <c r="B146" s="10">
        <v>11994.079563754722</v>
      </c>
      <c r="C146" s="10"/>
      <c r="D146" s="11">
        <f>IF(AND(ChartTable[[#This Row],[Valor Encerrado]]=0, ChartTable[[#This Row],[Valor Ativo]]=""), 1, 0)</f>
        <v>0</v>
      </c>
      <c r="E146" s="11">
        <f>IF(AND(ChartTable[[#This Row],[Valor Ativo]]&lt;&gt;"", ChartTable[[#This Row],[Valor Encerrado]]=""), 1, 0)</f>
        <v>1</v>
      </c>
      <c r="F146" s="11">
        <f>IF(AND(ChartTable[[#This Row],[Novo?]]=0, ChartTable[[#This Row],[Valor Ativo]]&lt;&gt;ChartTable[[#This Row],[Valor Encerrado]]), 1, 0)</f>
        <v>0</v>
      </c>
      <c r="G146" s="18" t="str">
        <f>IF(ChartTable[[#This Row],[Mudou?]]=1, ChartTable[[#This Row],[Valor Encerrado]]-ChartTable[[#This Row],[Valor Ativo]], "")</f>
        <v/>
      </c>
      <c r="H146" s="11" t="str">
        <f>IF(ChartTable[[#This Row],[Mudou?]]=1, IF(ChartTable[[#This Row],[Diferença]]&gt;0, "aumentou", "diminuiu"), "")</f>
        <v/>
      </c>
      <c r="I146" s="11" t="str" cm="1">
        <f t="array" ref="I146">_xlfn.IFS(ChartTable[[#This Row],[Exluido?]]=1,"Excluido",ChartTable[[#This Row],[Novo?]]=1, "Novo", ChartTable[[#This Row],[Mudou?]]=1, "Mudou")</f>
        <v>Novo</v>
      </c>
    </row>
    <row r="147" spans="1:9" x14ac:dyDescent="0.25">
      <c r="A147" t="s">
        <v>156</v>
      </c>
      <c r="B147" s="10">
        <v>11994.079563754722</v>
      </c>
      <c r="C147" s="10"/>
      <c r="D147" s="11">
        <f>IF(AND(ChartTable[[#This Row],[Valor Encerrado]]=0, ChartTable[[#This Row],[Valor Ativo]]=""), 1, 0)</f>
        <v>0</v>
      </c>
      <c r="E147" s="11">
        <f>IF(AND(ChartTable[[#This Row],[Valor Ativo]]&lt;&gt;"", ChartTable[[#This Row],[Valor Encerrado]]=""), 1, 0)</f>
        <v>1</v>
      </c>
      <c r="F147" s="11">
        <f>IF(AND(ChartTable[[#This Row],[Novo?]]=0, ChartTable[[#This Row],[Valor Ativo]]&lt;&gt;ChartTable[[#This Row],[Valor Encerrado]]), 1, 0)</f>
        <v>0</v>
      </c>
      <c r="G147" s="18" t="str">
        <f>IF(ChartTable[[#This Row],[Mudou?]]=1, ChartTable[[#This Row],[Valor Encerrado]]-ChartTable[[#This Row],[Valor Ativo]], "")</f>
        <v/>
      </c>
      <c r="H147" s="11" t="str">
        <f>IF(ChartTable[[#This Row],[Mudou?]]=1, IF(ChartTable[[#This Row],[Diferença]]&gt;0, "aumentou", "diminuiu"), "")</f>
        <v/>
      </c>
      <c r="I147" s="11" t="str" cm="1">
        <f t="array" ref="I147">_xlfn.IFS(ChartTable[[#This Row],[Exluido?]]=1,"Excluido",ChartTable[[#This Row],[Novo?]]=1, "Novo", ChartTable[[#This Row],[Mudou?]]=1, "Mudou")</f>
        <v>Novo</v>
      </c>
    </row>
    <row r="148" spans="1:9" x14ac:dyDescent="0.25">
      <c r="A148" t="s">
        <v>157</v>
      </c>
      <c r="B148" s="10">
        <v>11994.079563754722</v>
      </c>
      <c r="C148" s="10"/>
      <c r="D148" s="11">
        <f>IF(AND(ChartTable[[#This Row],[Valor Encerrado]]=0, ChartTable[[#This Row],[Valor Ativo]]=""), 1, 0)</f>
        <v>0</v>
      </c>
      <c r="E148" s="11">
        <f>IF(AND(ChartTable[[#This Row],[Valor Ativo]]&lt;&gt;"", ChartTable[[#This Row],[Valor Encerrado]]=""), 1, 0)</f>
        <v>1</v>
      </c>
      <c r="F148" s="11">
        <f>IF(AND(ChartTable[[#This Row],[Novo?]]=0, ChartTable[[#This Row],[Valor Ativo]]&lt;&gt;ChartTable[[#This Row],[Valor Encerrado]]), 1, 0)</f>
        <v>0</v>
      </c>
      <c r="G148" s="18" t="str">
        <f>IF(ChartTable[[#This Row],[Mudou?]]=1, ChartTable[[#This Row],[Valor Encerrado]]-ChartTable[[#This Row],[Valor Ativo]], "")</f>
        <v/>
      </c>
      <c r="H148" s="11" t="str">
        <f>IF(ChartTable[[#This Row],[Mudou?]]=1, IF(ChartTable[[#This Row],[Diferença]]&gt;0, "aumentou", "diminuiu"), "")</f>
        <v/>
      </c>
      <c r="I148" s="11" t="str" cm="1">
        <f t="array" ref="I148">_xlfn.IFS(ChartTable[[#This Row],[Exluido?]]=1,"Excluido",ChartTable[[#This Row],[Novo?]]=1, "Novo", ChartTable[[#This Row],[Mudou?]]=1, "Mudou")</f>
        <v>Novo</v>
      </c>
    </row>
    <row r="149" spans="1:9" x14ac:dyDescent="0.25">
      <c r="A149" t="s">
        <v>158</v>
      </c>
      <c r="B149" s="10">
        <v>11994.079563754722</v>
      </c>
      <c r="C149" s="10"/>
      <c r="D149" s="11">
        <f>IF(AND(ChartTable[[#This Row],[Valor Encerrado]]=0, ChartTable[[#This Row],[Valor Ativo]]=""), 1, 0)</f>
        <v>0</v>
      </c>
      <c r="E149" s="11">
        <f>IF(AND(ChartTable[[#This Row],[Valor Ativo]]&lt;&gt;"", ChartTable[[#This Row],[Valor Encerrado]]=""), 1, 0)</f>
        <v>1</v>
      </c>
      <c r="F149" s="11">
        <f>IF(AND(ChartTable[[#This Row],[Novo?]]=0, ChartTable[[#This Row],[Valor Ativo]]&lt;&gt;ChartTable[[#This Row],[Valor Encerrado]]), 1, 0)</f>
        <v>0</v>
      </c>
      <c r="G149" s="18" t="str">
        <f>IF(ChartTable[[#This Row],[Mudou?]]=1, ChartTable[[#This Row],[Valor Encerrado]]-ChartTable[[#This Row],[Valor Ativo]], "")</f>
        <v/>
      </c>
      <c r="H149" s="11" t="str">
        <f>IF(ChartTable[[#This Row],[Mudou?]]=1, IF(ChartTable[[#This Row],[Diferença]]&gt;0, "aumentou", "diminuiu"), "")</f>
        <v/>
      </c>
      <c r="I149" s="11" t="str" cm="1">
        <f t="array" ref="I149">_xlfn.IFS(ChartTable[[#This Row],[Exluido?]]=1,"Excluido",ChartTable[[#This Row],[Novo?]]=1, "Novo", ChartTable[[#This Row],[Mudou?]]=1, "Mudou")</f>
        <v>Novo</v>
      </c>
    </row>
    <row r="150" spans="1:9" x14ac:dyDescent="0.25">
      <c r="A150" t="s">
        <v>159</v>
      </c>
      <c r="B150" s="10">
        <v>11994.079563754722</v>
      </c>
      <c r="C150" s="10"/>
      <c r="D150" s="11">
        <f>IF(AND(ChartTable[[#This Row],[Valor Encerrado]]=0, ChartTable[[#This Row],[Valor Ativo]]=""), 1, 0)</f>
        <v>0</v>
      </c>
      <c r="E150" s="11">
        <f>IF(AND(ChartTable[[#This Row],[Valor Ativo]]&lt;&gt;"", ChartTable[[#This Row],[Valor Encerrado]]=""), 1, 0)</f>
        <v>1</v>
      </c>
      <c r="F150" s="11">
        <f>IF(AND(ChartTable[[#This Row],[Novo?]]=0, ChartTable[[#This Row],[Valor Ativo]]&lt;&gt;ChartTable[[#This Row],[Valor Encerrado]]), 1, 0)</f>
        <v>0</v>
      </c>
      <c r="G150" s="18" t="str">
        <f>IF(ChartTable[[#This Row],[Mudou?]]=1, ChartTable[[#This Row],[Valor Encerrado]]-ChartTable[[#This Row],[Valor Ativo]], "")</f>
        <v/>
      </c>
      <c r="H150" s="11" t="str">
        <f>IF(ChartTable[[#This Row],[Mudou?]]=1, IF(ChartTable[[#This Row],[Diferença]]&gt;0, "aumentou", "diminuiu"), "")</f>
        <v/>
      </c>
      <c r="I150" s="11" t="str" cm="1">
        <f t="array" ref="I150">_xlfn.IFS(ChartTable[[#This Row],[Exluido?]]=1,"Excluido",ChartTable[[#This Row],[Novo?]]=1, "Novo", ChartTable[[#This Row],[Mudou?]]=1, "Mudou")</f>
        <v>Novo</v>
      </c>
    </row>
    <row r="151" spans="1:9" x14ac:dyDescent="0.25">
      <c r="A151" t="s">
        <v>160</v>
      </c>
      <c r="B151" s="10">
        <v>11994.079563754722</v>
      </c>
      <c r="C151" s="10"/>
      <c r="D151" s="11">
        <f>IF(AND(ChartTable[[#This Row],[Valor Encerrado]]=0, ChartTable[[#This Row],[Valor Ativo]]=""), 1, 0)</f>
        <v>0</v>
      </c>
      <c r="E151" s="11">
        <f>IF(AND(ChartTable[[#This Row],[Valor Ativo]]&lt;&gt;"", ChartTable[[#This Row],[Valor Encerrado]]=""), 1, 0)</f>
        <v>1</v>
      </c>
      <c r="F151" s="11">
        <f>IF(AND(ChartTable[[#This Row],[Novo?]]=0, ChartTable[[#This Row],[Valor Ativo]]&lt;&gt;ChartTable[[#This Row],[Valor Encerrado]]), 1, 0)</f>
        <v>0</v>
      </c>
      <c r="G151" s="18" t="str">
        <f>IF(ChartTable[[#This Row],[Mudou?]]=1, ChartTable[[#This Row],[Valor Encerrado]]-ChartTable[[#This Row],[Valor Ativo]], "")</f>
        <v/>
      </c>
      <c r="H151" s="11" t="str">
        <f>IF(ChartTable[[#This Row],[Mudou?]]=1, IF(ChartTable[[#This Row],[Diferença]]&gt;0, "aumentou", "diminuiu"), "")</f>
        <v/>
      </c>
      <c r="I151" s="11" t="str" cm="1">
        <f t="array" ref="I151">_xlfn.IFS(ChartTable[[#This Row],[Exluido?]]=1,"Excluido",ChartTable[[#This Row],[Novo?]]=1, "Novo", ChartTable[[#This Row],[Mudou?]]=1, "Mudou")</f>
        <v>Novo</v>
      </c>
    </row>
    <row r="152" spans="1:9" x14ac:dyDescent="0.25">
      <c r="A152" t="s">
        <v>161</v>
      </c>
      <c r="B152" s="10">
        <v>11994.079563754722</v>
      </c>
      <c r="C152" s="10"/>
      <c r="D152" s="11">
        <f>IF(AND(ChartTable[[#This Row],[Valor Encerrado]]=0, ChartTable[[#This Row],[Valor Ativo]]=""), 1, 0)</f>
        <v>0</v>
      </c>
      <c r="E152" s="11">
        <f>IF(AND(ChartTable[[#This Row],[Valor Ativo]]&lt;&gt;"", ChartTable[[#This Row],[Valor Encerrado]]=""), 1, 0)</f>
        <v>1</v>
      </c>
      <c r="F152" s="11">
        <f>IF(AND(ChartTable[[#This Row],[Novo?]]=0, ChartTable[[#This Row],[Valor Ativo]]&lt;&gt;ChartTable[[#This Row],[Valor Encerrado]]), 1, 0)</f>
        <v>0</v>
      </c>
      <c r="G152" s="18" t="str">
        <f>IF(ChartTable[[#This Row],[Mudou?]]=1, ChartTable[[#This Row],[Valor Encerrado]]-ChartTable[[#This Row],[Valor Ativo]], "")</f>
        <v/>
      </c>
      <c r="H152" s="11" t="str">
        <f>IF(ChartTable[[#This Row],[Mudou?]]=1, IF(ChartTable[[#This Row],[Diferença]]&gt;0, "aumentou", "diminuiu"), "")</f>
        <v/>
      </c>
      <c r="I152" s="11" t="str" cm="1">
        <f t="array" ref="I152">_xlfn.IFS(ChartTable[[#This Row],[Exluido?]]=1,"Excluido",ChartTable[[#This Row],[Novo?]]=1, "Novo", ChartTable[[#This Row],[Mudou?]]=1, "Mudou")</f>
        <v>Novo</v>
      </c>
    </row>
    <row r="153" spans="1:9" x14ac:dyDescent="0.25">
      <c r="A153" t="s">
        <v>162</v>
      </c>
      <c r="B153" s="10">
        <v>11994.079563754722</v>
      </c>
      <c r="C153" s="10"/>
      <c r="D153" s="11">
        <f>IF(AND(ChartTable[[#This Row],[Valor Encerrado]]=0, ChartTable[[#This Row],[Valor Ativo]]=""), 1, 0)</f>
        <v>0</v>
      </c>
      <c r="E153" s="11">
        <f>IF(AND(ChartTable[[#This Row],[Valor Ativo]]&lt;&gt;"", ChartTable[[#This Row],[Valor Encerrado]]=""), 1, 0)</f>
        <v>1</v>
      </c>
      <c r="F153" s="11">
        <f>IF(AND(ChartTable[[#This Row],[Novo?]]=0, ChartTable[[#This Row],[Valor Ativo]]&lt;&gt;ChartTable[[#This Row],[Valor Encerrado]]), 1, 0)</f>
        <v>0</v>
      </c>
      <c r="G153" s="18" t="str">
        <f>IF(ChartTable[[#This Row],[Mudou?]]=1, ChartTable[[#This Row],[Valor Encerrado]]-ChartTable[[#This Row],[Valor Ativo]], "")</f>
        <v/>
      </c>
      <c r="H153" s="11" t="str">
        <f>IF(ChartTable[[#This Row],[Mudou?]]=1, IF(ChartTable[[#This Row],[Diferença]]&gt;0, "aumentou", "diminuiu"), "")</f>
        <v/>
      </c>
      <c r="I153" s="11" t="str" cm="1">
        <f t="array" ref="I153">_xlfn.IFS(ChartTable[[#This Row],[Exluido?]]=1,"Excluido",ChartTable[[#This Row],[Novo?]]=1, "Novo", ChartTable[[#This Row],[Mudou?]]=1, "Mudou")</f>
        <v>Novo</v>
      </c>
    </row>
    <row r="154" spans="1:9" x14ac:dyDescent="0.25">
      <c r="A154" t="s">
        <v>163</v>
      </c>
      <c r="B154" s="10">
        <v>11994.079563754722</v>
      </c>
      <c r="C154" s="10"/>
      <c r="D154" s="11">
        <f>IF(AND(ChartTable[[#This Row],[Valor Encerrado]]=0, ChartTable[[#This Row],[Valor Ativo]]=""), 1, 0)</f>
        <v>0</v>
      </c>
      <c r="E154" s="11">
        <f>IF(AND(ChartTable[[#This Row],[Valor Ativo]]&lt;&gt;"", ChartTable[[#This Row],[Valor Encerrado]]=""), 1, 0)</f>
        <v>1</v>
      </c>
      <c r="F154" s="11">
        <f>IF(AND(ChartTable[[#This Row],[Novo?]]=0, ChartTable[[#This Row],[Valor Ativo]]&lt;&gt;ChartTable[[#This Row],[Valor Encerrado]]), 1, 0)</f>
        <v>0</v>
      </c>
      <c r="G154" s="18" t="str">
        <f>IF(ChartTable[[#This Row],[Mudou?]]=1, ChartTable[[#This Row],[Valor Encerrado]]-ChartTable[[#This Row],[Valor Ativo]], "")</f>
        <v/>
      </c>
      <c r="H154" s="11" t="str">
        <f>IF(ChartTable[[#This Row],[Mudou?]]=1, IF(ChartTable[[#This Row],[Diferença]]&gt;0, "aumentou", "diminuiu"), "")</f>
        <v/>
      </c>
      <c r="I154" s="11" t="str" cm="1">
        <f t="array" ref="I154">_xlfn.IFS(ChartTable[[#This Row],[Exluido?]]=1,"Excluido",ChartTable[[#This Row],[Novo?]]=1, "Novo", ChartTable[[#This Row],[Mudou?]]=1, "Mudou")</f>
        <v>Novo</v>
      </c>
    </row>
    <row r="155" spans="1:9" x14ac:dyDescent="0.25">
      <c r="A155" t="s">
        <v>164</v>
      </c>
      <c r="B155" s="10">
        <v>11994.079563754722</v>
      </c>
      <c r="C155" s="10"/>
      <c r="D155" s="11">
        <f>IF(AND(ChartTable[[#This Row],[Valor Encerrado]]=0, ChartTable[[#This Row],[Valor Ativo]]=""), 1, 0)</f>
        <v>0</v>
      </c>
      <c r="E155" s="11">
        <f>IF(AND(ChartTable[[#This Row],[Valor Ativo]]&lt;&gt;"", ChartTable[[#This Row],[Valor Encerrado]]=""), 1, 0)</f>
        <v>1</v>
      </c>
      <c r="F155" s="11">
        <f>IF(AND(ChartTable[[#This Row],[Novo?]]=0, ChartTable[[#This Row],[Valor Ativo]]&lt;&gt;ChartTable[[#This Row],[Valor Encerrado]]), 1, 0)</f>
        <v>0</v>
      </c>
      <c r="G155" s="18" t="str">
        <f>IF(ChartTable[[#This Row],[Mudou?]]=1, ChartTable[[#This Row],[Valor Encerrado]]-ChartTable[[#This Row],[Valor Ativo]], "")</f>
        <v/>
      </c>
      <c r="H155" s="11" t="str">
        <f>IF(ChartTable[[#This Row],[Mudou?]]=1, IF(ChartTable[[#This Row],[Diferença]]&gt;0, "aumentou", "diminuiu"), "")</f>
        <v/>
      </c>
      <c r="I155" s="11" t="str" cm="1">
        <f t="array" ref="I155">_xlfn.IFS(ChartTable[[#This Row],[Exluido?]]=1,"Excluido",ChartTable[[#This Row],[Novo?]]=1, "Novo", ChartTable[[#This Row],[Mudou?]]=1, "Mudou")</f>
        <v>Novo</v>
      </c>
    </row>
    <row r="156" spans="1:9" x14ac:dyDescent="0.25">
      <c r="A156" t="s">
        <v>165</v>
      </c>
      <c r="B156" s="10">
        <v>11994.079563754722</v>
      </c>
      <c r="C156" s="10"/>
      <c r="D156" s="11">
        <f>IF(AND(ChartTable[[#This Row],[Valor Encerrado]]=0, ChartTable[[#This Row],[Valor Ativo]]=""), 1, 0)</f>
        <v>0</v>
      </c>
      <c r="E156" s="11">
        <f>IF(AND(ChartTable[[#This Row],[Valor Ativo]]&lt;&gt;"", ChartTable[[#This Row],[Valor Encerrado]]=""), 1, 0)</f>
        <v>1</v>
      </c>
      <c r="F156" s="11">
        <f>IF(AND(ChartTable[[#This Row],[Novo?]]=0, ChartTable[[#This Row],[Valor Ativo]]&lt;&gt;ChartTable[[#This Row],[Valor Encerrado]]), 1, 0)</f>
        <v>0</v>
      </c>
      <c r="G156" s="18" t="str">
        <f>IF(ChartTable[[#This Row],[Mudou?]]=1, ChartTable[[#This Row],[Valor Encerrado]]-ChartTable[[#This Row],[Valor Ativo]], "")</f>
        <v/>
      </c>
      <c r="H156" s="11" t="str">
        <f>IF(ChartTable[[#This Row],[Mudou?]]=1, IF(ChartTable[[#This Row],[Diferença]]&gt;0, "aumentou", "diminuiu"), "")</f>
        <v/>
      </c>
      <c r="I156" s="11" t="str" cm="1">
        <f t="array" ref="I156">_xlfn.IFS(ChartTable[[#This Row],[Exluido?]]=1,"Excluido",ChartTable[[#This Row],[Novo?]]=1, "Novo", ChartTable[[#This Row],[Mudou?]]=1, "Mudou")</f>
        <v>Novo</v>
      </c>
    </row>
    <row r="157" spans="1:9" x14ac:dyDescent="0.25">
      <c r="A157" t="s">
        <v>166</v>
      </c>
      <c r="B157" s="10">
        <v>11994.079563754722</v>
      </c>
      <c r="C157" s="10"/>
      <c r="D157" s="11">
        <f>IF(AND(ChartTable[[#This Row],[Valor Encerrado]]=0, ChartTable[[#This Row],[Valor Ativo]]=""), 1, 0)</f>
        <v>0</v>
      </c>
      <c r="E157" s="11">
        <f>IF(AND(ChartTable[[#This Row],[Valor Ativo]]&lt;&gt;"", ChartTable[[#This Row],[Valor Encerrado]]=""), 1, 0)</f>
        <v>1</v>
      </c>
      <c r="F157" s="11">
        <f>IF(AND(ChartTable[[#This Row],[Novo?]]=0, ChartTable[[#This Row],[Valor Ativo]]&lt;&gt;ChartTable[[#This Row],[Valor Encerrado]]), 1, 0)</f>
        <v>0</v>
      </c>
      <c r="G157" s="18" t="str">
        <f>IF(ChartTable[[#This Row],[Mudou?]]=1, ChartTable[[#This Row],[Valor Encerrado]]-ChartTable[[#This Row],[Valor Ativo]], "")</f>
        <v/>
      </c>
      <c r="H157" s="11" t="str">
        <f>IF(ChartTable[[#This Row],[Mudou?]]=1, IF(ChartTable[[#This Row],[Diferença]]&gt;0, "aumentou", "diminuiu"), "")</f>
        <v/>
      </c>
      <c r="I157" s="11" t="str" cm="1">
        <f t="array" ref="I157">_xlfn.IFS(ChartTable[[#This Row],[Exluido?]]=1,"Excluido",ChartTable[[#This Row],[Novo?]]=1, "Novo", ChartTable[[#This Row],[Mudou?]]=1, "Mudou")</f>
        <v>Novo</v>
      </c>
    </row>
    <row r="158" spans="1:9" x14ac:dyDescent="0.25">
      <c r="A158" t="s">
        <v>167</v>
      </c>
      <c r="B158" s="10">
        <v>11994.079563754722</v>
      </c>
      <c r="C158" s="10"/>
      <c r="D158" s="11">
        <f>IF(AND(ChartTable[[#This Row],[Valor Encerrado]]=0, ChartTable[[#This Row],[Valor Ativo]]=""), 1, 0)</f>
        <v>0</v>
      </c>
      <c r="E158" s="11">
        <f>IF(AND(ChartTable[[#This Row],[Valor Ativo]]&lt;&gt;"", ChartTable[[#This Row],[Valor Encerrado]]=""), 1, 0)</f>
        <v>1</v>
      </c>
      <c r="F158" s="11">
        <f>IF(AND(ChartTable[[#This Row],[Novo?]]=0, ChartTable[[#This Row],[Valor Ativo]]&lt;&gt;ChartTable[[#This Row],[Valor Encerrado]]), 1, 0)</f>
        <v>0</v>
      </c>
      <c r="G158" s="18" t="str">
        <f>IF(ChartTable[[#This Row],[Mudou?]]=1, ChartTable[[#This Row],[Valor Encerrado]]-ChartTable[[#This Row],[Valor Ativo]], "")</f>
        <v/>
      </c>
      <c r="H158" s="11" t="str">
        <f>IF(ChartTable[[#This Row],[Mudou?]]=1, IF(ChartTable[[#This Row],[Diferença]]&gt;0, "aumentou", "diminuiu"), "")</f>
        <v/>
      </c>
      <c r="I158" s="11" t="str" cm="1">
        <f t="array" ref="I158">_xlfn.IFS(ChartTable[[#This Row],[Exluido?]]=1,"Excluido",ChartTable[[#This Row],[Novo?]]=1, "Novo", ChartTable[[#This Row],[Mudou?]]=1, "Mudou")</f>
        <v>Novo</v>
      </c>
    </row>
    <row r="159" spans="1:9" x14ac:dyDescent="0.25">
      <c r="A159" t="s">
        <v>168</v>
      </c>
      <c r="B159" s="10">
        <v>11994.079563754722</v>
      </c>
      <c r="C159" s="10"/>
      <c r="D159" s="11">
        <f>IF(AND(ChartTable[[#This Row],[Valor Encerrado]]=0, ChartTable[[#This Row],[Valor Ativo]]=""), 1, 0)</f>
        <v>0</v>
      </c>
      <c r="E159" s="11">
        <f>IF(AND(ChartTable[[#This Row],[Valor Ativo]]&lt;&gt;"", ChartTable[[#This Row],[Valor Encerrado]]=""), 1, 0)</f>
        <v>1</v>
      </c>
      <c r="F159" s="11">
        <f>IF(AND(ChartTable[[#This Row],[Novo?]]=0, ChartTable[[#This Row],[Valor Ativo]]&lt;&gt;ChartTable[[#This Row],[Valor Encerrado]]), 1, 0)</f>
        <v>0</v>
      </c>
      <c r="G159" s="18" t="str">
        <f>IF(ChartTable[[#This Row],[Mudou?]]=1, ChartTable[[#This Row],[Valor Encerrado]]-ChartTable[[#This Row],[Valor Ativo]], "")</f>
        <v/>
      </c>
      <c r="H159" s="11" t="str">
        <f>IF(ChartTable[[#This Row],[Mudou?]]=1, IF(ChartTable[[#This Row],[Diferença]]&gt;0, "aumentou", "diminuiu"), "")</f>
        <v/>
      </c>
      <c r="I159" s="11" t="str" cm="1">
        <f t="array" ref="I159">_xlfn.IFS(ChartTable[[#This Row],[Exluido?]]=1,"Excluido",ChartTable[[#This Row],[Novo?]]=1, "Novo", ChartTable[[#This Row],[Mudou?]]=1, "Mudou")</f>
        <v>Novo</v>
      </c>
    </row>
    <row r="160" spans="1:9" x14ac:dyDescent="0.25">
      <c r="A160" t="s">
        <v>169</v>
      </c>
      <c r="B160" s="10">
        <v>11994.079563754722</v>
      </c>
      <c r="C160" s="10"/>
      <c r="D160" s="11">
        <f>IF(AND(ChartTable[[#This Row],[Valor Encerrado]]=0, ChartTable[[#This Row],[Valor Ativo]]=""), 1, 0)</f>
        <v>0</v>
      </c>
      <c r="E160" s="11">
        <f>IF(AND(ChartTable[[#This Row],[Valor Ativo]]&lt;&gt;"", ChartTable[[#This Row],[Valor Encerrado]]=""), 1, 0)</f>
        <v>1</v>
      </c>
      <c r="F160" s="11">
        <f>IF(AND(ChartTable[[#This Row],[Novo?]]=0, ChartTable[[#This Row],[Valor Ativo]]&lt;&gt;ChartTable[[#This Row],[Valor Encerrado]]), 1, 0)</f>
        <v>0</v>
      </c>
      <c r="G160" s="18" t="str">
        <f>IF(ChartTable[[#This Row],[Mudou?]]=1, ChartTable[[#This Row],[Valor Encerrado]]-ChartTable[[#This Row],[Valor Ativo]], "")</f>
        <v/>
      </c>
      <c r="H160" s="11" t="str">
        <f>IF(ChartTable[[#This Row],[Mudou?]]=1, IF(ChartTable[[#This Row],[Diferença]]&gt;0, "aumentou", "diminuiu"), "")</f>
        <v/>
      </c>
      <c r="I160" s="11" t="str" cm="1">
        <f t="array" ref="I160">_xlfn.IFS(ChartTable[[#This Row],[Exluido?]]=1,"Excluido",ChartTable[[#This Row],[Novo?]]=1, "Novo", ChartTable[[#This Row],[Mudou?]]=1, "Mudou")</f>
        <v>Novo</v>
      </c>
    </row>
    <row r="161" spans="1:9" x14ac:dyDescent="0.25">
      <c r="A161" t="s">
        <v>170</v>
      </c>
      <c r="B161" s="10">
        <v>11994.079563754722</v>
      </c>
      <c r="C161" s="10"/>
      <c r="D161" s="11">
        <f>IF(AND(ChartTable[[#This Row],[Valor Encerrado]]=0, ChartTable[[#This Row],[Valor Ativo]]=""), 1, 0)</f>
        <v>0</v>
      </c>
      <c r="E161" s="11">
        <f>IF(AND(ChartTable[[#This Row],[Valor Ativo]]&lt;&gt;"", ChartTable[[#This Row],[Valor Encerrado]]=""), 1, 0)</f>
        <v>1</v>
      </c>
      <c r="F161" s="11">
        <f>IF(AND(ChartTable[[#This Row],[Novo?]]=0, ChartTable[[#This Row],[Valor Ativo]]&lt;&gt;ChartTable[[#This Row],[Valor Encerrado]]), 1, 0)</f>
        <v>0</v>
      </c>
      <c r="G161" s="18" t="str">
        <f>IF(ChartTable[[#This Row],[Mudou?]]=1, ChartTable[[#This Row],[Valor Encerrado]]-ChartTable[[#This Row],[Valor Ativo]], "")</f>
        <v/>
      </c>
      <c r="H161" s="11" t="str">
        <f>IF(ChartTable[[#This Row],[Mudou?]]=1, IF(ChartTable[[#This Row],[Diferença]]&gt;0, "aumentou", "diminuiu"), "")</f>
        <v/>
      </c>
      <c r="I161" s="11" t="str" cm="1">
        <f t="array" ref="I161">_xlfn.IFS(ChartTable[[#This Row],[Exluido?]]=1,"Excluido",ChartTable[[#This Row],[Novo?]]=1, "Novo", ChartTable[[#This Row],[Mudou?]]=1, "Mudou")</f>
        <v>Novo</v>
      </c>
    </row>
    <row r="162" spans="1:9" x14ac:dyDescent="0.25">
      <c r="A162" t="s">
        <v>171</v>
      </c>
      <c r="B162" s="10">
        <v>11994.079563754722</v>
      </c>
      <c r="C162" s="10"/>
      <c r="D162" s="11">
        <f>IF(AND(ChartTable[[#This Row],[Valor Encerrado]]=0, ChartTable[[#This Row],[Valor Ativo]]=""), 1, 0)</f>
        <v>0</v>
      </c>
      <c r="E162" s="11">
        <f>IF(AND(ChartTable[[#This Row],[Valor Ativo]]&lt;&gt;"", ChartTable[[#This Row],[Valor Encerrado]]=""), 1, 0)</f>
        <v>1</v>
      </c>
      <c r="F162" s="11">
        <f>IF(AND(ChartTable[[#This Row],[Novo?]]=0, ChartTable[[#This Row],[Valor Ativo]]&lt;&gt;ChartTable[[#This Row],[Valor Encerrado]]), 1, 0)</f>
        <v>0</v>
      </c>
      <c r="G162" s="18" t="str">
        <f>IF(ChartTable[[#This Row],[Mudou?]]=1, ChartTable[[#This Row],[Valor Encerrado]]-ChartTable[[#This Row],[Valor Ativo]], "")</f>
        <v/>
      </c>
      <c r="H162" s="11" t="str">
        <f>IF(ChartTable[[#This Row],[Mudou?]]=1, IF(ChartTable[[#This Row],[Diferença]]&gt;0, "aumentou", "diminuiu"), "")</f>
        <v/>
      </c>
      <c r="I162" s="11" t="str" cm="1">
        <f t="array" ref="I162">_xlfn.IFS(ChartTable[[#This Row],[Exluido?]]=1,"Excluido",ChartTable[[#This Row],[Novo?]]=1, "Novo", ChartTable[[#This Row],[Mudou?]]=1, "Mudou")</f>
        <v>Novo</v>
      </c>
    </row>
    <row r="163" spans="1:9" x14ac:dyDescent="0.25">
      <c r="A163" t="s">
        <v>172</v>
      </c>
      <c r="B163" s="10">
        <v>11994.079563754722</v>
      </c>
      <c r="C163" s="10"/>
      <c r="D163" s="11">
        <f>IF(AND(ChartTable[[#This Row],[Valor Encerrado]]=0, ChartTable[[#This Row],[Valor Ativo]]=""), 1, 0)</f>
        <v>0</v>
      </c>
      <c r="E163" s="11">
        <f>IF(AND(ChartTable[[#This Row],[Valor Ativo]]&lt;&gt;"", ChartTable[[#This Row],[Valor Encerrado]]=""), 1, 0)</f>
        <v>1</v>
      </c>
      <c r="F163" s="11">
        <f>IF(AND(ChartTable[[#This Row],[Novo?]]=0, ChartTable[[#This Row],[Valor Ativo]]&lt;&gt;ChartTable[[#This Row],[Valor Encerrado]]), 1, 0)</f>
        <v>0</v>
      </c>
      <c r="G163" s="18" t="str">
        <f>IF(ChartTable[[#This Row],[Mudou?]]=1, ChartTable[[#This Row],[Valor Encerrado]]-ChartTable[[#This Row],[Valor Ativo]], "")</f>
        <v/>
      </c>
      <c r="H163" s="11" t="str">
        <f>IF(ChartTable[[#This Row],[Mudou?]]=1, IF(ChartTable[[#This Row],[Diferença]]&gt;0, "aumentou", "diminuiu"), "")</f>
        <v/>
      </c>
      <c r="I163" s="11" t="str" cm="1">
        <f t="array" ref="I163">_xlfn.IFS(ChartTable[[#This Row],[Exluido?]]=1,"Excluido",ChartTable[[#This Row],[Novo?]]=1, "Novo", ChartTable[[#This Row],[Mudou?]]=1, "Mudou")</f>
        <v>Novo</v>
      </c>
    </row>
    <row r="164" spans="1:9" x14ac:dyDescent="0.25">
      <c r="A164" t="s">
        <v>173</v>
      </c>
      <c r="B164" s="10">
        <v>11994.079563754722</v>
      </c>
      <c r="C164" s="10"/>
      <c r="D164" s="11">
        <f>IF(AND(ChartTable[[#This Row],[Valor Encerrado]]=0, ChartTable[[#This Row],[Valor Ativo]]=""), 1, 0)</f>
        <v>0</v>
      </c>
      <c r="E164" s="11">
        <f>IF(AND(ChartTable[[#This Row],[Valor Ativo]]&lt;&gt;"", ChartTable[[#This Row],[Valor Encerrado]]=""), 1, 0)</f>
        <v>1</v>
      </c>
      <c r="F164" s="11">
        <f>IF(AND(ChartTable[[#This Row],[Novo?]]=0, ChartTable[[#This Row],[Valor Ativo]]&lt;&gt;ChartTable[[#This Row],[Valor Encerrado]]), 1, 0)</f>
        <v>0</v>
      </c>
      <c r="G164" s="18" t="str">
        <f>IF(ChartTable[[#This Row],[Mudou?]]=1, ChartTable[[#This Row],[Valor Encerrado]]-ChartTable[[#This Row],[Valor Ativo]], "")</f>
        <v/>
      </c>
      <c r="H164" s="11" t="str">
        <f>IF(ChartTable[[#This Row],[Mudou?]]=1, IF(ChartTable[[#This Row],[Diferença]]&gt;0, "aumentou", "diminuiu"), "")</f>
        <v/>
      </c>
      <c r="I164" s="11" t="str" cm="1">
        <f t="array" ref="I164">_xlfn.IFS(ChartTable[[#This Row],[Exluido?]]=1,"Excluido",ChartTable[[#This Row],[Novo?]]=1, "Novo", ChartTable[[#This Row],[Mudou?]]=1, "Mudou")</f>
        <v>Novo</v>
      </c>
    </row>
    <row r="165" spans="1:9" x14ac:dyDescent="0.25">
      <c r="A165" t="s">
        <v>174</v>
      </c>
      <c r="B165" s="10">
        <v>11994.079563754722</v>
      </c>
      <c r="C165" s="10"/>
      <c r="D165" s="11">
        <f>IF(AND(ChartTable[[#This Row],[Valor Encerrado]]=0, ChartTable[[#This Row],[Valor Ativo]]=""), 1, 0)</f>
        <v>0</v>
      </c>
      <c r="E165" s="11">
        <f>IF(AND(ChartTable[[#This Row],[Valor Ativo]]&lt;&gt;"", ChartTable[[#This Row],[Valor Encerrado]]=""), 1, 0)</f>
        <v>1</v>
      </c>
      <c r="F165" s="11">
        <f>IF(AND(ChartTable[[#This Row],[Novo?]]=0, ChartTable[[#This Row],[Valor Ativo]]&lt;&gt;ChartTable[[#This Row],[Valor Encerrado]]), 1, 0)</f>
        <v>0</v>
      </c>
      <c r="G165" s="18" t="str">
        <f>IF(ChartTable[[#This Row],[Mudou?]]=1, ChartTable[[#This Row],[Valor Encerrado]]-ChartTable[[#This Row],[Valor Ativo]], "")</f>
        <v/>
      </c>
      <c r="H165" s="11" t="str">
        <f>IF(ChartTable[[#This Row],[Mudou?]]=1, IF(ChartTable[[#This Row],[Diferença]]&gt;0, "aumentou", "diminuiu"), "")</f>
        <v/>
      </c>
      <c r="I165" s="11" t="str" cm="1">
        <f t="array" ref="I165">_xlfn.IFS(ChartTable[[#This Row],[Exluido?]]=1,"Excluido",ChartTable[[#This Row],[Novo?]]=1, "Novo", ChartTable[[#This Row],[Mudou?]]=1, "Mudou")</f>
        <v>Novo</v>
      </c>
    </row>
    <row r="166" spans="1:9" x14ac:dyDescent="0.25">
      <c r="A166" t="s">
        <v>175</v>
      </c>
      <c r="B166" s="10">
        <v>11994.079563754722</v>
      </c>
      <c r="C166" s="10"/>
      <c r="D166" s="11">
        <f>IF(AND(ChartTable[[#This Row],[Valor Encerrado]]=0, ChartTable[[#This Row],[Valor Ativo]]=""), 1, 0)</f>
        <v>0</v>
      </c>
      <c r="E166" s="11">
        <f>IF(AND(ChartTable[[#This Row],[Valor Ativo]]&lt;&gt;"", ChartTable[[#This Row],[Valor Encerrado]]=""), 1, 0)</f>
        <v>1</v>
      </c>
      <c r="F166" s="11">
        <f>IF(AND(ChartTable[[#This Row],[Novo?]]=0, ChartTable[[#This Row],[Valor Ativo]]&lt;&gt;ChartTable[[#This Row],[Valor Encerrado]]), 1, 0)</f>
        <v>0</v>
      </c>
      <c r="G166" s="18" t="str">
        <f>IF(ChartTable[[#This Row],[Mudou?]]=1, ChartTable[[#This Row],[Valor Encerrado]]-ChartTable[[#This Row],[Valor Ativo]], "")</f>
        <v/>
      </c>
      <c r="H166" s="11" t="str">
        <f>IF(ChartTable[[#This Row],[Mudou?]]=1, IF(ChartTable[[#This Row],[Diferença]]&gt;0, "aumentou", "diminuiu"), "")</f>
        <v/>
      </c>
      <c r="I166" s="11" t="str" cm="1">
        <f t="array" ref="I166">_xlfn.IFS(ChartTable[[#This Row],[Exluido?]]=1,"Excluido",ChartTable[[#This Row],[Novo?]]=1, "Novo", ChartTable[[#This Row],[Mudou?]]=1, "Mudou")</f>
        <v>Novo</v>
      </c>
    </row>
    <row r="167" spans="1:9" x14ac:dyDescent="0.25">
      <c r="A167" t="s">
        <v>176</v>
      </c>
      <c r="B167" s="10">
        <v>11994.079563754722</v>
      </c>
      <c r="C167" s="10"/>
      <c r="D167" s="11">
        <f>IF(AND(ChartTable[[#This Row],[Valor Encerrado]]=0, ChartTable[[#This Row],[Valor Ativo]]=""), 1, 0)</f>
        <v>0</v>
      </c>
      <c r="E167" s="11">
        <f>IF(AND(ChartTable[[#This Row],[Valor Ativo]]&lt;&gt;"", ChartTable[[#This Row],[Valor Encerrado]]=""), 1, 0)</f>
        <v>1</v>
      </c>
      <c r="F167" s="11">
        <f>IF(AND(ChartTable[[#This Row],[Novo?]]=0, ChartTable[[#This Row],[Valor Ativo]]&lt;&gt;ChartTable[[#This Row],[Valor Encerrado]]), 1, 0)</f>
        <v>0</v>
      </c>
      <c r="G167" s="18" t="str">
        <f>IF(ChartTable[[#This Row],[Mudou?]]=1, ChartTable[[#This Row],[Valor Encerrado]]-ChartTable[[#This Row],[Valor Ativo]], "")</f>
        <v/>
      </c>
      <c r="H167" s="11" t="str">
        <f>IF(ChartTable[[#This Row],[Mudou?]]=1, IF(ChartTable[[#This Row],[Diferença]]&gt;0, "aumentou", "diminuiu"), "")</f>
        <v/>
      </c>
      <c r="I167" s="11" t="str" cm="1">
        <f t="array" ref="I167">_xlfn.IFS(ChartTable[[#This Row],[Exluido?]]=1,"Excluido",ChartTable[[#This Row],[Novo?]]=1, "Novo", ChartTable[[#This Row],[Mudou?]]=1, "Mudou")</f>
        <v>Novo</v>
      </c>
    </row>
    <row r="168" spans="1:9" x14ac:dyDescent="0.25">
      <c r="A168" t="s">
        <v>177</v>
      </c>
      <c r="B168" s="10">
        <v>11994.079563754722</v>
      </c>
      <c r="C168" s="10"/>
      <c r="D168" s="11">
        <f>IF(AND(ChartTable[[#This Row],[Valor Encerrado]]=0, ChartTable[[#This Row],[Valor Ativo]]=""), 1, 0)</f>
        <v>0</v>
      </c>
      <c r="E168" s="11">
        <f>IF(AND(ChartTable[[#This Row],[Valor Ativo]]&lt;&gt;"", ChartTable[[#This Row],[Valor Encerrado]]=""), 1, 0)</f>
        <v>1</v>
      </c>
      <c r="F168" s="11">
        <f>IF(AND(ChartTable[[#This Row],[Novo?]]=0, ChartTable[[#This Row],[Valor Ativo]]&lt;&gt;ChartTable[[#This Row],[Valor Encerrado]]), 1, 0)</f>
        <v>0</v>
      </c>
      <c r="G168" s="18" t="str">
        <f>IF(ChartTable[[#This Row],[Mudou?]]=1, ChartTable[[#This Row],[Valor Encerrado]]-ChartTable[[#This Row],[Valor Ativo]], "")</f>
        <v/>
      </c>
      <c r="H168" s="11" t="str">
        <f>IF(ChartTable[[#This Row],[Mudou?]]=1, IF(ChartTable[[#This Row],[Diferença]]&gt;0, "aumentou", "diminuiu"), "")</f>
        <v/>
      </c>
      <c r="I168" s="11" t="str" cm="1">
        <f t="array" ref="I168">_xlfn.IFS(ChartTable[[#This Row],[Exluido?]]=1,"Excluido",ChartTable[[#This Row],[Novo?]]=1, "Novo", ChartTable[[#This Row],[Mudou?]]=1, "Mudou")</f>
        <v>Novo</v>
      </c>
    </row>
    <row r="169" spans="1:9" x14ac:dyDescent="0.25">
      <c r="A169" t="s">
        <v>178</v>
      </c>
      <c r="B169" s="10">
        <v>11994.079563754722</v>
      </c>
      <c r="C169" s="10"/>
      <c r="D169" s="11">
        <f>IF(AND(ChartTable[[#This Row],[Valor Encerrado]]=0, ChartTable[[#This Row],[Valor Ativo]]=""), 1, 0)</f>
        <v>0</v>
      </c>
      <c r="E169" s="11">
        <f>IF(AND(ChartTable[[#This Row],[Valor Ativo]]&lt;&gt;"", ChartTable[[#This Row],[Valor Encerrado]]=""), 1, 0)</f>
        <v>1</v>
      </c>
      <c r="F169" s="11">
        <f>IF(AND(ChartTable[[#This Row],[Novo?]]=0, ChartTable[[#This Row],[Valor Ativo]]&lt;&gt;ChartTable[[#This Row],[Valor Encerrado]]), 1, 0)</f>
        <v>0</v>
      </c>
      <c r="G169" s="18" t="str">
        <f>IF(ChartTable[[#This Row],[Mudou?]]=1, ChartTable[[#This Row],[Valor Encerrado]]-ChartTable[[#This Row],[Valor Ativo]], "")</f>
        <v/>
      </c>
      <c r="H169" s="11" t="str">
        <f>IF(ChartTable[[#This Row],[Mudou?]]=1, IF(ChartTable[[#This Row],[Diferença]]&gt;0, "aumentou", "diminuiu"), "")</f>
        <v/>
      </c>
      <c r="I169" s="11" t="str" cm="1">
        <f t="array" ref="I169">_xlfn.IFS(ChartTable[[#This Row],[Exluido?]]=1,"Excluido",ChartTable[[#This Row],[Novo?]]=1, "Novo", ChartTable[[#This Row],[Mudou?]]=1, "Mudou")</f>
        <v>Novo</v>
      </c>
    </row>
    <row r="170" spans="1:9" x14ac:dyDescent="0.25">
      <c r="A170" t="s">
        <v>179</v>
      </c>
      <c r="B170" s="10">
        <v>11994.079563754722</v>
      </c>
      <c r="C170" s="10"/>
      <c r="D170" s="11">
        <f>IF(AND(ChartTable[[#This Row],[Valor Encerrado]]=0, ChartTable[[#This Row],[Valor Ativo]]=""), 1, 0)</f>
        <v>0</v>
      </c>
      <c r="E170" s="11">
        <f>IF(AND(ChartTable[[#This Row],[Valor Ativo]]&lt;&gt;"", ChartTable[[#This Row],[Valor Encerrado]]=""), 1, 0)</f>
        <v>1</v>
      </c>
      <c r="F170" s="11">
        <f>IF(AND(ChartTable[[#This Row],[Novo?]]=0, ChartTable[[#This Row],[Valor Ativo]]&lt;&gt;ChartTable[[#This Row],[Valor Encerrado]]), 1, 0)</f>
        <v>0</v>
      </c>
      <c r="G170" s="18" t="str">
        <f>IF(ChartTable[[#This Row],[Mudou?]]=1, ChartTable[[#This Row],[Valor Encerrado]]-ChartTable[[#This Row],[Valor Ativo]], "")</f>
        <v/>
      </c>
      <c r="H170" s="11" t="str">
        <f>IF(ChartTable[[#This Row],[Mudou?]]=1, IF(ChartTable[[#This Row],[Diferença]]&gt;0, "aumentou", "diminuiu"), "")</f>
        <v/>
      </c>
      <c r="I170" s="11" t="str" cm="1">
        <f t="array" ref="I170">_xlfn.IFS(ChartTable[[#This Row],[Exluido?]]=1,"Excluido",ChartTable[[#This Row],[Novo?]]=1, "Novo", ChartTable[[#This Row],[Mudou?]]=1, "Mudou")</f>
        <v>Novo</v>
      </c>
    </row>
    <row r="171" spans="1:9" x14ac:dyDescent="0.25">
      <c r="A171" t="s">
        <v>180</v>
      </c>
      <c r="B171" s="10">
        <v>11994.079563754722</v>
      </c>
      <c r="C171" s="10"/>
      <c r="D171" s="11">
        <f>IF(AND(ChartTable[[#This Row],[Valor Encerrado]]=0, ChartTable[[#This Row],[Valor Ativo]]=""), 1, 0)</f>
        <v>0</v>
      </c>
      <c r="E171" s="11">
        <f>IF(AND(ChartTable[[#This Row],[Valor Ativo]]&lt;&gt;"", ChartTable[[#This Row],[Valor Encerrado]]=""), 1, 0)</f>
        <v>1</v>
      </c>
      <c r="F171" s="11">
        <f>IF(AND(ChartTable[[#This Row],[Novo?]]=0, ChartTable[[#This Row],[Valor Ativo]]&lt;&gt;ChartTable[[#This Row],[Valor Encerrado]]), 1, 0)</f>
        <v>0</v>
      </c>
      <c r="G171" s="18" t="str">
        <f>IF(ChartTable[[#This Row],[Mudou?]]=1, ChartTable[[#This Row],[Valor Encerrado]]-ChartTable[[#This Row],[Valor Ativo]], "")</f>
        <v/>
      </c>
      <c r="H171" s="11" t="str">
        <f>IF(ChartTable[[#This Row],[Mudou?]]=1, IF(ChartTable[[#This Row],[Diferença]]&gt;0, "aumentou", "diminuiu"), "")</f>
        <v/>
      </c>
      <c r="I171" s="11" t="str" cm="1">
        <f t="array" ref="I171">_xlfn.IFS(ChartTable[[#This Row],[Exluido?]]=1,"Excluido",ChartTable[[#This Row],[Novo?]]=1, "Novo", ChartTable[[#This Row],[Mudou?]]=1, "Mudou")</f>
        <v>Novo</v>
      </c>
    </row>
    <row r="172" spans="1:9" x14ac:dyDescent="0.25">
      <c r="A172" t="s">
        <v>181</v>
      </c>
      <c r="B172" s="10">
        <v>11994.079563754722</v>
      </c>
      <c r="C172" s="10"/>
      <c r="D172" s="11">
        <f>IF(AND(ChartTable[[#This Row],[Valor Encerrado]]=0, ChartTable[[#This Row],[Valor Ativo]]=""), 1, 0)</f>
        <v>0</v>
      </c>
      <c r="E172" s="11">
        <f>IF(AND(ChartTable[[#This Row],[Valor Ativo]]&lt;&gt;"", ChartTable[[#This Row],[Valor Encerrado]]=""), 1, 0)</f>
        <v>1</v>
      </c>
      <c r="F172" s="11">
        <f>IF(AND(ChartTable[[#This Row],[Novo?]]=0, ChartTable[[#This Row],[Valor Ativo]]&lt;&gt;ChartTable[[#This Row],[Valor Encerrado]]), 1, 0)</f>
        <v>0</v>
      </c>
      <c r="G172" s="18" t="str">
        <f>IF(ChartTable[[#This Row],[Mudou?]]=1, ChartTable[[#This Row],[Valor Encerrado]]-ChartTable[[#This Row],[Valor Ativo]], "")</f>
        <v/>
      </c>
      <c r="H172" s="11" t="str">
        <f>IF(ChartTable[[#This Row],[Mudou?]]=1, IF(ChartTable[[#This Row],[Diferença]]&gt;0, "aumentou", "diminuiu"), "")</f>
        <v/>
      </c>
      <c r="I172" s="11" t="str" cm="1">
        <f t="array" ref="I172">_xlfn.IFS(ChartTable[[#This Row],[Exluido?]]=1,"Excluido",ChartTable[[#This Row],[Novo?]]=1, "Novo", ChartTable[[#This Row],[Mudou?]]=1, "Mudou")</f>
        <v>Novo</v>
      </c>
    </row>
    <row r="173" spans="1:9" x14ac:dyDescent="0.25">
      <c r="A173" t="s">
        <v>182</v>
      </c>
      <c r="B173" s="10">
        <v>11994.079563754722</v>
      </c>
      <c r="C173" s="10"/>
      <c r="D173" s="11">
        <f>IF(AND(ChartTable[[#This Row],[Valor Encerrado]]=0, ChartTable[[#This Row],[Valor Ativo]]=""), 1, 0)</f>
        <v>0</v>
      </c>
      <c r="E173" s="11">
        <f>IF(AND(ChartTable[[#This Row],[Valor Ativo]]&lt;&gt;"", ChartTable[[#This Row],[Valor Encerrado]]=""), 1, 0)</f>
        <v>1</v>
      </c>
      <c r="F173" s="11">
        <f>IF(AND(ChartTable[[#This Row],[Novo?]]=0, ChartTable[[#This Row],[Valor Ativo]]&lt;&gt;ChartTable[[#This Row],[Valor Encerrado]]), 1, 0)</f>
        <v>0</v>
      </c>
      <c r="G173" s="18" t="str">
        <f>IF(ChartTable[[#This Row],[Mudou?]]=1, ChartTable[[#This Row],[Valor Encerrado]]-ChartTable[[#This Row],[Valor Ativo]], "")</f>
        <v/>
      </c>
      <c r="H173" s="11" t="str">
        <f>IF(ChartTable[[#This Row],[Mudou?]]=1, IF(ChartTable[[#This Row],[Diferença]]&gt;0, "aumentou", "diminuiu"), "")</f>
        <v/>
      </c>
      <c r="I173" s="11" t="str" cm="1">
        <f t="array" ref="I173">_xlfn.IFS(ChartTable[[#This Row],[Exluido?]]=1,"Excluido",ChartTable[[#This Row],[Novo?]]=1, "Novo", ChartTable[[#This Row],[Mudou?]]=1, "Mudou")</f>
        <v>Novo</v>
      </c>
    </row>
    <row r="174" spans="1:9" x14ac:dyDescent="0.25">
      <c r="A174" t="s">
        <v>183</v>
      </c>
      <c r="B174" s="10">
        <v>11994.079563754722</v>
      </c>
      <c r="C174" s="10"/>
      <c r="D174" s="11">
        <f>IF(AND(ChartTable[[#This Row],[Valor Encerrado]]=0, ChartTable[[#This Row],[Valor Ativo]]=""), 1, 0)</f>
        <v>0</v>
      </c>
      <c r="E174" s="11">
        <f>IF(AND(ChartTable[[#This Row],[Valor Ativo]]&lt;&gt;"", ChartTable[[#This Row],[Valor Encerrado]]=""), 1, 0)</f>
        <v>1</v>
      </c>
      <c r="F174" s="11">
        <f>IF(AND(ChartTable[[#This Row],[Novo?]]=0, ChartTable[[#This Row],[Valor Ativo]]&lt;&gt;ChartTable[[#This Row],[Valor Encerrado]]), 1, 0)</f>
        <v>0</v>
      </c>
      <c r="G174" s="18" t="str">
        <f>IF(ChartTable[[#This Row],[Mudou?]]=1, ChartTable[[#This Row],[Valor Encerrado]]-ChartTable[[#This Row],[Valor Ativo]], "")</f>
        <v/>
      </c>
      <c r="H174" s="11" t="str">
        <f>IF(ChartTable[[#This Row],[Mudou?]]=1, IF(ChartTable[[#This Row],[Diferença]]&gt;0, "aumentou", "diminuiu"), "")</f>
        <v/>
      </c>
      <c r="I174" s="11" t="str" cm="1">
        <f t="array" ref="I174">_xlfn.IFS(ChartTable[[#This Row],[Exluido?]]=1,"Excluido",ChartTable[[#This Row],[Novo?]]=1, "Novo", ChartTable[[#This Row],[Mudou?]]=1, "Mudou")</f>
        <v>Novo</v>
      </c>
    </row>
    <row r="175" spans="1:9" x14ac:dyDescent="0.25">
      <c r="A175" t="s">
        <v>184</v>
      </c>
      <c r="B175" s="10">
        <v>11994.079563754722</v>
      </c>
      <c r="C175" s="10"/>
      <c r="D175" s="11">
        <f>IF(AND(ChartTable[[#This Row],[Valor Encerrado]]=0, ChartTable[[#This Row],[Valor Ativo]]=""), 1, 0)</f>
        <v>0</v>
      </c>
      <c r="E175" s="11">
        <f>IF(AND(ChartTable[[#This Row],[Valor Ativo]]&lt;&gt;"", ChartTable[[#This Row],[Valor Encerrado]]=""), 1, 0)</f>
        <v>1</v>
      </c>
      <c r="F175" s="11">
        <f>IF(AND(ChartTable[[#This Row],[Novo?]]=0, ChartTable[[#This Row],[Valor Ativo]]&lt;&gt;ChartTable[[#This Row],[Valor Encerrado]]), 1, 0)</f>
        <v>0</v>
      </c>
      <c r="G175" s="18" t="str">
        <f>IF(ChartTable[[#This Row],[Mudou?]]=1, ChartTable[[#This Row],[Valor Encerrado]]-ChartTable[[#This Row],[Valor Ativo]], "")</f>
        <v/>
      </c>
      <c r="H175" s="11" t="str">
        <f>IF(ChartTable[[#This Row],[Mudou?]]=1, IF(ChartTable[[#This Row],[Diferença]]&gt;0, "aumentou", "diminuiu"), "")</f>
        <v/>
      </c>
      <c r="I175" s="11" t="str" cm="1">
        <f t="array" ref="I175">_xlfn.IFS(ChartTable[[#This Row],[Exluido?]]=1,"Excluido",ChartTable[[#This Row],[Novo?]]=1, "Novo", ChartTable[[#This Row],[Mudou?]]=1, "Mudou")</f>
        <v>Novo</v>
      </c>
    </row>
    <row r="176" spans="1:9" x14ac:dyDescent="0.25">
      <c r="A176" t="s">
        <v>185</v>
      </c>
      <c r="B176" s="10">
        <v>11994.079563754722</v>
      </c>
      <c r="C176" s="10"/>
      <c r="D176" s="11">
        <f>IF(AND(ChartTable[[#This Row],[Valor Encerrado]]=0, ChartTable[[#This Row],[Valor Ativo]]=""), 1, 0)</f>
        <v>0</v>
      </c>
      <c r="E176" s="11">
        <f>IF(AND(ChartTable[[#This Row],[Valor Ativo]]&lt;&gt;"", ChartTable[[#This Row],[Valor Encerrado]]=""), 1, 0)</f>
        <v>1</v>
      </c>
      <c r="F176" s="11">
        <f>IF(AND(ChartTable[[#This Row],[Novo?]]=0, ChartTable[[#This Row],[Valor Ativo]]&lt;&gt;ChartTable[[#This Row],[Valor Encerrado]]), 1, 0)</f>
        <v>0</v>
      </c>
      <c r="G176" s="18" t="str">
        <f>IF(ChartTable[[#This Row],[Mudou?]]=1, ChartTable[[#This Row],[Valor Encerrado]]-ChartTable[[#This Row],[Valor Ativo]], "")</f>
        <v/>
      </c>
      <c r="H176" s="11" t="str">
        <f>IF(ChartTable[[#This Row],[Mudou?]]=1, IF(ChartTable[[#This Row],[Diferença]]&gt;0, "aumentou", "diminuiu"), "")</f>
        <v/>
      </c>
      <c r="I176" s="11" t="str" cm="1">
        <f t="array" ref="I176">_xlfn.IFS(ChartTable[[#This Row],[Exluido?]]=1,"Excluido",ChartTable[[#This Row],[Novo?]]=1, "Novo", ChartTable[[#This Row],[Mudou?]]=1, "Mudou")</f>
        <v>Novo</v>
      </c>
    </row>
    <row r="177" spans="1:9" x14ac:dyDescent="0.25">
      <c r="A177" t="s">
        <v>186</v>
      </c>
      <c r="B177" s="10">
        <v>11994.079563754722</v>
      </c>
      <c r="C177" s="10"/>
      <c r="D177" s="11">
        <f>IF(AND(ChartTable[[#This Row],[Valor Encerrado]]=0, ChartTable[[#This Row],[Valor Ativo]]=""), 1, 0)</f>
        <v>0</v>
      </c>
      <c r="E177" s="11">
        <f>IF(AND(ChartTable[[#This Row],[Valor Ativo]]&lt;&gt;"", ChartTable[[#This Row],[Valor Encerrado]]=""), 1, 0)</f>
        <v>1</v>
      </c>
      <c r="F177" s="11">
        <f>IF(AND(ChartTable[[#This Row],[Novo?]]=0, ChartTable[[#This Row],[Valor Ativo]]&lt;&gt;ChartTable[[#This Row],[Valor Encerrado]]), 1, 0)</f>
        <v>0</v>
      </c>
      <c r="G177" s="18" t="str">
        <f>IF(ChartTable[[#This Row],[Mudou?]]=1, ChartTable[[#This Row],[Valor Encerrado]]-ChartTable[[#This Row],[Valor Ativo]], "")</f>
        <v/>
      </c>
      <c r="H177" s="11" t="str">
        <f>IF(ChartTable[[#This Row],[Mudou?]]=1, IF(ChartTable[[#This Row],[Diferença]]&gt;0, "aumentou", "diminuiu"), "")</f>
        <v/>
      </c>
      <c r="I177" s="11" t="str" cm="1">
        <f t="array" ref="I177">_xlfn.IFS(ChartTable[[#This Row],[Exluido?]]=1,"Excluido",ChartTable[[#This Row],[Novo?]]=1, "Novo", ChartTable[[#This Row],[Mudou?]]=1, "Mudou")</f>
        <v>Novo</v>
      </c>
    </row>
    <row r="178" spans="1:9" x14ac:dyDescent="0.25">
      <c r="A178" t="s">
        <v>187</v>
      </c>
      <c r="B178" s="10">
        <v>11994.079563754722</v>
      </c>
      <c r="C178" s="10"/>
      <c r="D178" s="11">
        <f>IF(AND(ChartTable[[#This Row],[Valor Encerrado]]=0, ChartTable[[#This Row],[Valor Ativo]]=""), 1, 0)</f>
        <v>0</v>
      </c>
      <c r="E178" s="11">
        <f>IF(AND(ChartTable[[#This Row],[Valor Ativo]]&lt;&gt;"", ChartTable[[#This Row],[Valor Encerrado]]=""), 1, 0)</f>
        <v>1</v>
      </c>
      <c r="F178" s="11">
        <f>IF(AND(ChartTable[[#This Row],[Novo?]]=0, ChartTable[[#This Row],[Valor Ativo]]&lt;&gt;ChartTable[[#This Row],[Valor Encerrado]]), 1, 0)</f>
        <v>0</v>
      </c>
      <c r="G178" s="18" t="str">
        <f>IF(ChartTable[[#This Row],[Mudou?]]=1, ChartTable[[#This Row],[Valor Encerrado]]-ChartTable[[#This Row],[Valor Ativo]], "")</f>
        <v/>
      </c>
      <c r="H178" s="11" t="str">
        <f>IF(ChartTable[[#This Row],[Mudou?]]=1, IF(ChartTable[[#This Row],[Diferença]]&gt;0, "aumentou", "diminuiu"), "")</f>
        <v/>
      </c>
      <c r="I178" s="11" t="str" cm="1">
        <f t="array" ref="I178">_xlfn.IFS(ChartTable[[#This Row],[Exluido?]]=1,"Excluido",ChartTable[[#This Row],[Novo?]]=1, "Novo", ChartTable[[#This Row],[Mudou?]]=1, "Mudou")</f>
        <v>Novo</v>
      </c>
    </row>
    <row r="179" spans="1:9" x14ac:dyDescent="0.25">
      <c r="A179" t="s">
        <v>188</v>
      </c>
      <c r="B179" s="10">
        <v>11994.079563754722</v>
      </c>
      <c r="C179" s="10"/>
      <c r="D179" s="11">
        <f>IF(AND(ChartTable[[#This Row],[Valor Encerrado]]=0, ChartTable[[#This Row],[Valor Ativo]]=""), 1, 0)</f>
        <v>0</v>
      </c>
      <c r="E179" s="11">
        <f>IF(AND(ChartTable[[#This Row],[Valor Ativo]]&lt;&gt;"", ChartTable[[#This Row],[Valor Encerrado]]=""), 1, 0)</f>
        <v>1</v>
      </c>
      <c r="F179" s="11">
        <f>IF(AND(ChartTable[[#This Row],[Novo?]]=0, ChartTable[[#This Row],[Valor Ativo]]&lt;&gt;ChartTable[[#This Row],[Valor Encerrado]]), 1, 0)</f>
        <v>0</v>
      </c>
      <c r="G179" s="18" t="str">
        <f>IF(ChartTable[[#This Row],[Mudou?]]=1, ChartTable[[#This Row],[Valor Encerrado]]-ChartTable[[#This Row],[Valor Ativo]], "")</f>
        <v/>
      </c>
      <c r="H179" s="11" t="str">
        <f>IF(ChartTable[[#This Row],[Mudou?]]=1, IF(ChartTable[[#This Row],[Diferença]]&gt;0, "aumentou", "diminuiu"), "")</f>
        <v/>
      </c>
      <c r="I179" s="11" t="str" cm="1">
        <f t="array" ref="I179">_xlfn.IFS(ChartTable[[#This Row],[Exluido?]]=1,"Excluido",ChartTable[[#This Row],[Novo?]]=1, "Novo", ChartTable[[#This Row],[Mudou?]]=1, "Mudou")</f>
        <v>Novo</v>
      </c>
    </row>
    <row r="180" spans="1:9" x14ac:dyDescent="0.25">
      <c r="A180" t="s">
        <v>189</v>
      </c>
      <c r="B180" s="10">
        <v>11994.079563754722</v>
      </c>
      <c r="C180" s="10"/>
      <c r="D180" s="11">
        <f>IF(AND(ChartTable[[#This Row],[Valor Encerrado]]=0, ChartTable[[#This Row],[Valor Ativo]]=""), 1, 0)</f>
        <v>0</v>
      </c>
      <c r="E180" s="11">
        <f>IF(AND(ChartTable[[#This Row],[Valor Ativo]]&lt;&gt;"", ChartTable[[#This Row],[Valor Encerrado]]=""), 1, 0)</f>
        <v>1</v>
      </c>
      <c r="F180" s="11">
        <f>IF(AND(ChartTable[[#This Row],[Novo?]]=0, ChartTable[[#This Row],[Valor Ativo]]&lt;&gt;ChartTable[[#This Row],[Valor Encerrado]]), 1, 0)</f>
        <v>0</v>
      </c>
      <c r="G180" s="18" t="str">
        <f>IF(ChartTable[[#This Row],[Mudou?]]=1, ChartTable[[#This Row],[Valor Encerrado]]-ChartTable[[#This Row],[Valor Ativo]], "")</f>
        <v/>
      </c>
      <c r="H180" s="11" t="str">
        <f>IF(ChartTable[[#This Row],[Mudou?]]=1, IF(ChartTable[[#This Row],[Diferença]]&gt;0, "aumentou", "diminuiu"), "")</f>
        <v/>
      </c>
      <c r="I180" s="11" t="str" cm="1">
        <f t="array" ref="I180">_xlfn.IFS(ChartTable[[#This Row],[Exluido?]]=1,"Excluido",ChartTable[[#This Row],[Novo?]]=1, "Novo", ChartTable[[#This Row],[Mudou?]]=1, "Mudou")</f>
        <v>Novo</v>
      </c>
    </row>
    <row r="181" spans="1:9" x14ac:dyDescent="0.25">
      <c r="A181" t="s">
        <v>190</v>
      </c>
      <c r="B181" s="10">
        <v>11994.079563754722</v>
      </c>
      <c r="C181" s="10"/>
      <c r="D181" s="11">
        <f>IF(AND(ChartTable[[#This Row],[Valor Encerrado]]=0, ChartTable[[#This Row],[Valor Ativo]]=""), 1, 0)</f>
        <v>0</v>
      </c>
      <c r="E181" s="11">
        <f>IF(AND(ChartTable[[#This Row],[Valor Ativo]]&lt;&gt;"", ChartTable[[#This Row],[Valor Encerrado]]=""), 1, 0)</f>
        <v>1</v>
      </c>
      <c r="F181" s="11">
        <f>IF(AND(ChartTable[[#This Row],[Novo?]]=0, ChartTable[[#This Row],[Valor Ativo]]&lt;&gt;ChartTable[[#This Row],[Valor Encerrado]]), 1, 0)</f>
        <v>0</v>
      </c>
      <c r="G181" s="18" t="str">
        <f>IF(ChartTable[[#This Row],[Mudou?]]=1, ChartTable[[#This Row],[Valor Encerrado]]-ChartTable[[#This Row],[Valor Ativo]], "")</f>
        <v/>
      </c>
      <c r="H181" s="11" t="str">
        <f>IF(ChartTable[[#This Row],[Mudou?]]=1, IF(ChartTable[[#This Row],[Diferença]]&gt;0, "aumentou", "diminuiu"), "")</f>
        <v/>
      </c>
      <c r="I181" s="11" t="str" cm="1">
        <f t="array" ref="I181">_xlfn.IFS(ChartTable[[#This Row],[Exluido?]]=1,"Excluido",ChartTable[[#This Row],[Novo?]]=1, "Novo", ChartTable[[#This Row],[Mudou?]]=1, "Mudou")</f>
        <v>Novo</v>
      </c>
    </row>
    <row r="182" spans="1:9" x14ac:dyDescent="0.25">
      <c r="A182" t="s">
        <v>191</v>
      </c>
      <c r="B182" s="10">
        <v>11994.079563754722</v>
      </c>
      <c r="C182" s="10"/>
      <c r="D182" s="11">
        <f>IF(AND(ChartTable[[#This Row],[Valor Encerrado]]=0, ChartTable[[#This Row],[Valor Ativo]]=""), 1, 0)</f>
        <v>0</v>
      </c>
      <c r="E182" s="11">
        <f>IF(AND(ChartTable[[#This Row],[Valor Ativo]]&lt;&gt;"", ChartTable[[#This Row],[Valor Encerrado]]=""), 1, 0)</f>
        <v>1</v>
      </c>
      <c r="F182" s="11">
        <f>IF(AND(ChartTable[[#This Row],[Novo?]]=0, ChartTable[[#This Row],[Valor Ativo]]&lt;&gt;ChartTable[[#This Row],[Valor Encerrado]]), 1, 0)</f>
        <v>0</v>
      </c>
      <c r="G182" s="18" t="str">
        <f>IF(ChartTable[[#This Row],[Mudou?]]=1, ChartTable[[#This Row],[Valor Encerrado]]-ChartTable[[#This Row],[Valor Ativo]], "")</f>
        <v/>
      </c>
      <c r="H182" s="11" t="str">
        <f>IF(ChartTable[[#This Row],[Mudou?]]=1, IF(ChartTable[[#This Row],[Diferença]]&gt;0, "aumentou", "diminuiu"), "")</f>
        <v/>
      </c>
      <c r="I182" s="11" t="str" cm="1">
        <f t="array" ref="I182">_xlfn.IFS(ChartTable[[#This Row],[Exluido?]]=1,"Excluido",ChartTable[[#This Row],[Novo?]]=1, "Novo", ChartTable[[#This Row],[Mudou?]]=1, "Mudou")</f>
        <v>Novo</v>
      </c>
    </row>
    <row r="183" spans="1:9" x14ac:dyDescent="0.25">
      <c r="A183" t="s">
        <v>192</v>
      </c>
      <c r="B183" s="10">
        <v>11994.079563754722</v>
      </c>
      <c r="C183" s="10"/>
      <c r="D183" s="11">
        <f>IF(AND(ChartTable[[#This Row],[Valor Encerrado]]=0, ChartTable[[#This Row],[Valor Ativo]]=""), 1, 0)</f>
        <v>0</v>
      </c>
      <c r="E183" s="11">
        <f>IF(AND(ChartTable[[#This Row],[Valor Ativo]]&lt;&gt;"", ChartTable[[#This Row],[Valor Encerrado]]=""), 1, 0)</f>
        <v>1</v>
      </c>
      <c r="F183" s="11">
        <f>IF(AND(ChartTable[[#This Row],[Novo?]]=0, ChartTable[[#This Row],[Valor Ativo]]&lt;&gt;ChartTable[[#This Row],[Valor Encerrado]]), 1, 0)</f>
        <v>0</v>
      </c>
      <c r="G183" s="18" t="str">
        <f>IF(ChartTable[[#This Row],[Mudou?]]=1, ChartTable[[#This Row],[Valor Encerrado]]-ChartTable[[#This Row],[Valor Ativo]], "")</f>
        <v/>
      </c>
      <c r="H183" s="11" t="str">
        <f>IF(ChartTable[[#This Row],[Mudou?]]=1, IF(ChartTable[[#This Row],[Diferença]]&gt;0, "aumentou", "diminuiu"), "")</f>
        <v/>
      </c>
      <c r="I183" s="11" t="str" cm="1">
        <f t="array" ref="I183">_xlfn.IFS(ChartTable[[#This Row],[Exluido?]]=1,"Excluido",ChartTable[[#This Row],[Novo?]]=1, "Novo", ChartTable[[#This Row],[Mudou?]]=1, "Mudou")</f>
        <v>Novo</v>
      </c>
    </row>
    <row r="184" spans="1:9" x14ac:dyDescent="0.25">
      <c r="A184" t="s">
        <v>193</v>
      </c>
      <c r="B184" s="10">
        <v>11994.079563754722</v>
      </c>
      <c r="C184" s="10"/>
      <c r="D184" s="11">
        <f>IF(AND(ChartTable[[#This Row],[Valor Encerrado]]=0, ChartTable[[#This Row],[Valor Ativo]]=""), 1, 0)</f>
        <v>0</v>
      </c>
      <c r="E184" s="11">
        <f>IF(AND(ChartTable[[#This Row],[Valor Ativo]]&lt;&gt;"", ChartTable[[#This Row],[Valor Encerrado]]=""), 1, 0)</f>
        <v>1</v>
      </c>
      <c r="F184" s="11">
        <f>IF(AND(ChartTable[[#This Row],[Novo?]]=0, ChartTable[[#This Row],[Valor Ativo]]&lt;&gt;ChartTable[[#This Row],[Valor Encerrado]]), 1, 0)</f>
        <v>0</v>
      </c>
      <c r="G184" s="18" t="str">
        <f>IF(ChartTable[[#This Row],[Mudou?]]=1, ChartTable[[#This Row],[Valor Encerrado]]-ChartTable[[#This Row],[Valor Ativo]], "")</f>
        <v/>
      </c>
      <c r="H184" s="11" t="str">
        <f>IF(ChartTable[[#This Row],[Mudou?]]=1, IF(ChartTable[[#This Row],[Diferença]]&gt;0, "aumentou", "diminuiu"), "")</f>
        <v/>
      </c>
      <c r="I184" s="11" t="str" cm="1">
        <f t="array" ref="I184">_xlfn.IFS(ChartTable[[#This Row],[Exluido?]]=1,"Excluido",ChartTable[[#This Row],[Novo?]]=1, "Novo", ChartTable[[#This Row],[Mudou?]]=1, "Mudou")</f>
        <v>Novo</v>
      </c>
    </row>
    <row r="185" spans="1:9" x14ac:dyDescent="0.25">
      <c r="A185" t="s">
        <v>194</v>
      </c>
      <c r="B185" s="10">
        <v>11994.079563754722</v>
      </c>
      <c r="C185" s="10"/>
      <c r="D185" s="11">
        <f>IF(AND(ChartTable[[#This Row],[Valor Encerrado]]=0, ChartTable[[#This Row],[Valor Ativo]]=""), 1, 0)</f>
        <v>0</v>
      </c>
      <c r="E185" s="11">
        <f>IF(AND(ChartTable[[#This Row],[Valor Ativo]]&lt;&gt;"", ChartTable[[#This Row],[Valor Encerrado]]=""), 1, 0)</f>
        <v>1</v>
      </c>
      <c r="F185" s="11">
        <f>IF(AND(ChartTable[[#This Row],[Novo?]]=0, ChartTable[[#This Row],[Valor Ativo]]&lt;&gt;ChartTable[[#This Row],[Valor Encerrado]]), 1, 0)</f>
        <v>0</v>
      </c>
      <c r="G185" s="18" t="str">
        <f>IF(ChartTable[[#This Row],[Mudou?]]=1, ChartTable[[#This Row],[Valor Encerrado]]-ChartTable[[#This Row],[Valor Ativo]], "")</f>
        <v/>
      </c>
      <c r="H185" s="11" t="str">
        <f>IF(ChartTable[[#This Row],[Mudou?]]=1, IF(ChartTable[[#This Row],[Diferença]]&gt;0, "aumentou", "diminuiu"), "")</f>
        <v/>
      </c>
      <c r="I185" s="11" t="str" cm="1">
        <f t="array" ref="I185">_xlfn.IFS(ChartTable[[#This Row],[Exluido?]]=1,"Excluido",ChartTable[[#This Row],[Novo?]]=1, "Novo", ChartTable[[#This Row],[Mudou?]]=1, "Mudou")</f>
        <v>Novo</v>
      </c>
    </row>
    <row r="186" spans="1:9" x14ac:dyDescent="0.25">
      <c r="A186" t="s">
        <v>195</v>
      </c>
      <c r="B186" s="10">
        <v>11994.079563754722</v>
      </c>
      <c r="C186" s="10"/>
      <c r="D186" s="11">
        <f>IF(AND(ChartTable[[#This Row],[Valor Encerrado]]=0, ChartTable[[#This Row],[Valor Ativo]]=""), 1, 0)</f>
        <v>0</v>
      </c>
      <c r="E186" s="11">
        <f>IF(AND(ChartTable[[#This Row],[Valor Ativo]]&lt;&gt;"", ChartTable[[#This Row],[Valor Encerrado]]=""), 1, 0)</f>
        <v>1</v>
      </c>
      <c r="F186" s="11">
        <f>IF(AND(ChartTable[[#This Row],[Novo?]]=0, ChartTable[[#This Row],[Valor Ativo]]&lt;&gt;ChartTable[[#This Row],[Valor Encerrado]]), 1, 0)</f>
        <v>0</v>
      </c>
      <c r="G186" s="18" t="str">
        <f>IF(ChartTable[[#This Row],[Mudou?]]=1, ChartTable[[#This Row],[Valor Encerrado]]-ChartTable[[#This Row],[Valor Ativo]], "")</f>
        <v/>
      </c>
      <c r="H186" s="11" t="str">
        <f>IF(ChartTable[[#This Row],[Mudou?]]=1, IF(ChartTable[[#This Row],[Diferença]]&gt;0, "aumentou", "diminuiu"), "")</f>
        <v/>
      </c>
      <c r="I186" s="11" t="str" cm="1">
        <f t="array" ref="I186">_xlfn.IFS(ChartTable[[#This Row],[Exluido?]]=1,"Excluido",ChartTable[[#This Row],[Novo?]]=1, "Novo", ChartTable[[#This Row],[Mudou?]]=1, "Mudou")</f>
        <v>Novo</v>
      </c>
    </row>
    <row r="187" spans="1:9" x14ac:dyDescent="0.25">
      <c r="A187" t="s">
        <v>196</v>
      </c>
      <c r="B187" s="10">
        <v>11994.079563754722</v>
      </c>
      <c r="C187" s="10"/>
      <c r="D187" s="11">
        <f>IF(AND(ChartTable[[#This Row],[Valor Encerrado]]=0, ChartTable[[#This Row],[Valor Ativo]]=""), 1, 0)</f>
        <v>0</v>
      </c>
      <c r="E187" s="11">
        <f>IF(AND(ChartTable[[#This Row],[Valor Ativo]]&lt;&gt;"", ChartTable[[#This Row],[Valor Encerrado]]=""), 1, 0)</f>
        <v>1</v>
      </c>
      <c r="F187" s="11">
        <f>IF(AND(ChartTable[[#This Row],[Novo?]]=0, ChartTable[[#This Row],[Valor Ativo]]&lt;&gt;ChartTable[[#This Row],[Valor Encerrado]]), 1, 0)</f>
        <v>0</v>
      </c>
      <c r="G187" s="18" t="str">
        <f>IF(ChartTable[[#This Row],[Mudou?]]=1, ChartTable[[#This Row],[Valor Encerrado]]-ChartTable[[#This Row],[Valor Ativo]], "")</f>
        <v/>
      </c>
      <c r="H187" s="11" t="str">
        <f>IF(ChartTable[[#This Row],[Mudou?]]=1, IF(ChartTable[[#This Row],[Diferença]]&gt;0, "aumentou", "diminuiu"), "")</f>
        <v/>
      </c>
      <c r="I187" s="11" t="str" cm="1">
        <f t="array" ref="I187">_xlfn.IFS(ChartTable[[#This Row],[Exluido?]]=1,"Excluido",ChartTable[[#This Row],[Novo?]]=1, "Novo", ChartTable[[#This Row],[Mudou?]]=1, "Mudou")</f>
        <v>Novo</v>
      </c>
    </row>
    <row r="188" spans="1:9" x14ac:dyDescent="0.25">
      <c r="A188" t="s">
        <v>197</v>
      </c>
      <c r="B188" s="10">
        <v>11994.079563754722</v>
      </c>
      <c r="C188" s="10"/>
      <c r="D188" s="11">
        <f>IF(AND(ChartTable[[#This Row],[Valor Encerrado]]=0, ChartTable[[#This Row],[Valor Ativo]]=""), 1, 0)</f>
        <v>0</v>
      </c>
      <c r="E188" s="11">
        <f>IF(AND(ChartTable[[#This Row],[Valor Ativo]]&lt;&gt;"", ChartTable[[#This Row],[Valor Encerrado]]=""), 1, 0)</f>
        <v>1</v>
      </c>
      <c r="F188" s="11">
        <f>IF(AND(ChartTable[[#This Row],[Novo?]]=0, ChartTable[[#This Row],[Valor Ativo]]&lt;&gt;ChartTable[[#This Row],[Valor Encerrado]]), 1, 0)</f>
        <v>0</v>
      </c>
      <c r="G188" s="18" t="str">
        <f>IF(ChartTable[[#This Row],[Mudou?]]=1, ChartTable[[#This Row],[Valor Encerrado]]-ChartTable[[#This Row],[Valor Ativo]], "")</f>
        <v/>
      </c>
      <c r="H188" s="11" t="str">
        <f>IF(ChartTable[[#This Row],[Mudou?]]=1, IF(ChartTable[[#This Row],[Diferença]]&gt;0, "aumentou", "diminuiu"), "")</f>
        <v/>
      </c>
      <c r="I188" s="11" t="str" cm="1">
        <f t="array" ref="I188">_xlfn.IFS(ChartTable[[#This Row],[Exluido?]]=1,"Excluido",ChartTable[[#This Row],[Novo?]]=1, "Novo", ChartTable[[#This Row],[Mudou?]]=1, "Mudou")</f>
        <v>Novo</v>
      </c>
    </row>
    <row r="189" spans="1:9" x14ac:dyDescent="0.25">
      <c r="A189" t="s">
        <v>198</v>
      </c>
      <c r="B189" s="10">
        <v>11994.079563754722</v>
      </c>
      <c r="C189" s="10"/>
      <c r="D189" s="11">
        <f>IF(AND(ChartTable[[#This Row],[Valor Encerrado]]=0, ChartTable[[#This Row],[Valor Ativo]]=""), 1, 0)</f>
        <v>0</v>
      </c>
      <c r="E189" s="11">
        <f>IF(AND(ChartTable[[#This Row],[Valor Ativo]]&lt;&gt;"", ChartTable[[#This Row],[Valor Encerrado]]=""), 1, 0)</f>
        <v>1</v>
      </c>
      <c r="F189" s="11">
        <f>IF(AND(ChartTable[[#This Row],[Novo?]]=0, ChartTable[[#This Row],[Valor Ativo]]&lt;&gt;ChartTable[[#This Row],[Valor Encerrado]]), 1, 0)</f>
        <v>0</v>
      </c>
      <c r="G189" s="18" t="str">
        <f>IF(ChartTable[[#This Row],[Mudou?]]=1, ChartTable[[#This Row],[Valor Encerrado]]-ChartTable[[#This Row],[Valor Ativo]], "")</f>
        <v/>
      </c>
      <c r="H189" s="11" t="str">
        <f>IF(ChartTable[[#This Row],[Mudou?]]=1, IF(ChartTable[[#This Row],[Diferença]]&gt;0, "aumentou", "diminuiu"), "")</f>
        <v/>
      </c>
      <c r="I189" s="11" t="str" cm="1">
        <f t="array" ref="I189">_xlfn.IFS(ChartTable[[#This Row],[Exluido?]]=1,"Excluido",ChartTable[[#This Row],[Novo?]]=1, "Novo", ChartTable[[#This Row],[Mudou?]]=1, "Mudou")</f>
        <v>Novo</v>
      </c>
    </row>
    <row r="190" spans="1:9" x14ac:dyDescent="0.25">
      <c r="A190" t="s">
        <v>199</v>
      </c>
      <c r="B190" s="10">
        <v>11994.079563754722</v>
      </c>
      <c r="C190" s="10"/>
      <c r="D190" s="11">
        <f>IF(AND(ChartTable[[#This Row],[Valor Encerrado]]=0, ChartTable[[#This Row],[Valor Ativo]]=""), 1, 0)</f>
        <v>0</v>
      </c>
      <c r="E190" s="11">
        <f>IF(AND(ChartTable[[#This Row],[Valor Ativo]]&lt;&gt;"", ChartTable[[#This Row],[Valor Encerrado]]=""), 1, 0)</f>
        <v>1</v>
      </c>
      <c r="F190" s="11">
        <f>IF(AND(ChartTable[[#This Row],[Novo?]]=0, ChartTable[[#This Row],[Valor Ativo]]&lt;&gt;ChartTable[[#This Row],[Valor Encerrado]]), 1, 0)</f>
        <v>0</v>
      </c>
      <c r="G190" s="18" t="str">
        <f>IF(ChartTable[[#This Row],[Mudou?]]=1, ChartTable[[#This Row],[Valor Encerrado]]-ChartTable[[#This Row],[Valor Ativo]], "")</f>
        <v/>
      </c>
      <c r="H190" s="11" t="str">
        <f>IF(ChartTable[[#This Row],[Mudou?]]=1, IF(ChartTable[[#This Row],[Diferença]]&gt;0, "aumentou", "diminuiu"), "")</f>
        <v/>
      </c>
      <c r="I190" s="11" t="str" cm="1">
        <f t="array" ref="I190">_xlfn.IFS(ChartTable[[#This Row],[Exluido?]]=1,"Excluido",ChartTable[[#This Row],[Novo?]]=1, "Novo", ChartTable[[#This Row],[Mudou?]]=1, "Mudou")</f>
        <v>Novo</v>
      </c>
    </row>
    <row r="191" spans="1:9" x14ac:dyDescent="0.25">
      <c r="A191" t="s">
        <v>200</v>
      </c>
      <c r="B191" s="10">
        <v>11994.079563754722</v>
      </c>
      <c r="C191" s="10"/>
      <c r="D191" s="11">
        <f>IF(AND(ChartTable[[#This Row],[Valor Encerrado]]=0, ChartTable[[#This Row],[Valor Ativo]]=""), 1, 0)</f>
        <v>0</v>
      </c>
      <c r="E191" s="11">
        <f>IF(AND(ChartTable[[#This Row],[Valor Ativo]]&lt;&gt;"", ChartTable[[#This Row],[Valor Encerrado]]=""), 1, 0)</f>
        <v>1</v>
      </c>
      <c r="F191" s="11">
        <f>IF(AND(ChartTable[[#This Row],[Novo?]]=0, ChartTable[[#This Row],[Valor Ativo]]&lt;&gt;ChartTable[[#This Row],[Valor Encerrado]]), 1, 0)</f>
        <v>0</v>
      </c>
      <c r="G191" s="18" t="str">
        <f>IF(ChartTable[[#This Row],[Mudou?]]=1, ChartTable[[#This Row],[Valor Encerrado]]-ChartTable[[#This Row],[Valor Ativo]], "")</f>
        <v/>
      </c>
      <c r="H191" s="11" t="str">
        <f>IF(ChartTable[[#This Row],[Mudou?]]=1, IF(ChartTable[[#This Row],[Diferença]]&gt;0, "aumentou", "diminuiu"), "")</f>
        <v/>
      </c>
      <c r="I191" s="11" t="str" cm="1">
        <f t="array" ref="I191">_xlfn.IFS(ChartTable[[#This Row],[Exluido?]]=1,"Excluido",ChartTable[[#This Row],[Novo?]]=1, "Novo", ChartTable[[#This Row],[Mudou?]]=1, "Mudou")</f>
        <v>Novo</v>
      </c>
    </row>
    <row r="192" spans="1:9" x14ac:dyDescent="0.25">
      <c r="A192" t="s">
        <v>201</v>
      </c>
      <c r="B192" s="10">
        <v>11994.079563754722</v>
      </c>
      <c r="C192" s="10"/>
      <c r="D192" s="11">
        <f>IF(AND(ChartTable[[#This Row],[Valor Encerrado]]=0, ChartTable[[#This Row],[Valor Ativo]]=""), 1, 0)</f>
        <v>0</v>
      </c>
      <c r="E192" s="11">
        <f>IF(AND(ChartTable[[#This Row],[Valor Ativo]]&lt;&gt;"", ChartTable[[#This Row],[Valor Encerrado]]=""), 1, 0)</f>
        <v>1</v>
      </c>
      <c r="F192" s="11">
        <f>IF(AND(ChartTable[[#This Row],[Novo?]]=0, ChartTable[[#This Row],[Valor Ativo]]&lt;&gt;ChartTable[[#This Row],[Valor Encerrado]]), 1, 0)</f>
        <v>0</v>
      </c>
      <c r="G192" s="18" t="str">
        <f>IF(ChartTable[[#This Row],[Mudou?]]=1, ChartTable[[#This Row],[Valor Encerrado]]-ChartTable[[#This Row],[Valor Ativo]], "")</f>
        <v/>
      </c>
      <c r="H192" s="11" t="str">
        <f>IF(ChartTable[[#This Row],[Mudou?]]=1, IF(ChartTable[[#This Row],[Diferença]]&gt;0, "aumentou", "diminuiu"), "")</f>
        <v/>
      </c>
      <c r="I192" s="11" t="str" cm="1">
        <f t="array" ref="I192">_xlfn.IFS(ChartTable[[#This Row],[Exluido?]]=1,"Excluido",ChartTable[[#This Row],[Novo?]]=1, "Novo", ChartTable[[#This Row],[Mudou?]]=1, "Mudou")</f>
        <v>Novo</v>
      </c>
    </row>
    <row r="193" spans="1:9" x14ac:dyDescent="0.25">
      <c r="A193" t="s">
        <v>202</v>
      </c>
      <c r="B193" s="10">
        <v>11994.079563754722</v>
      </c>
      <c r="C193" s="10"/>
      <c r="D193" s="11">
        <f>IF(AND(ChartTable[[#This Row],[Valor Encerrado]]=0, ChartTable[[#This Row],[Valor Ativo]]=""), 1, 0)</f>
        <v>0</v>
      </c>
      <c r="E193" s="11">
        <f>IF(AND(ChartTable[[#This Row],[Valor Ativo]]&lt;&gt;"", ChartTable[[#This Row],[Valor Encerrado]]=""), 1, 0)</f>
        <v>1</v>
      </c>
      <c r="F193" s="11">
        <f>IF(AND(ChartTable[[#This Row],[Novo?]]=0, ChartTable[[#This Row],[Valor Ativo]]&lt;&gt;ChartTable[[#This Row],[Valor Encerrado]]), 1, 0)</f>
        <v>0</v>
      </c>
      <c r="G193" s="18" t="str">
        <f>IF(ChartTable[[#This Row],[Mudou?]]=1, ChartTable[[#This Row],[Valor Encerrado]]-ChartTable[[#This Row],[Valor Ativo]], "")</f>
        <v/>
      </c>
      <c r="H193" s="11" t="str">
        <f>IF(ChartTable[[#This Row],[Mudou?]]=1, IF(ChartTable[[#This Row],[Diferença]]&gt;0, "aumentou", "diminuiu"), "")</f>
        <v/>
      </c>
      <c r="I193" s="11" t="str" cm="1">
        <f t="array" ref="I193">_xlfn.IFS(ChartTable[[#This Row],[Exluido?]]=1,"Excluido",ChartTable[[#This Row],[Novo?]]=1, "Novo", ChartTable[[#This Row],[Mudou?]]=1, "Mudou")</f>
        <v>Novo</v>
      </c>
    </row>
    <row r="194" spans="1:9" x14ac:dyDescent="0.25">
      <c r="A194" t="s">
        <v>203</v>
      </c>
      <c r="B194" s="10">
        <v>11994.079563754722</v>
      </c>
      <c r="C194" s="10"/>
      <c r="D194" s="11">
        <f>IF(AND(ChartTable[[#This Row],[Valor Encerrado]]=0, ChartTable[[#This Row],[Valor Ativo]]=""), 1, 0)</f>
        <v>0</v>
      </c>
      <c r="E194" s="11">
        <f>IF(AND(ChartTable[[#This Row],[Valor Ativo]]&lt;&gt;"", ChartTable[[#This Row],[Valor Encerrado]]=""), 1, 0)</f>
        <v>1</v>
      </c>
      <c r="F194" s="11">
        <f>IF(AND(ChartTable[[#This Row],[Novo?]]=0, ChartTable[[#This Row],[Valor Ativo]]&lt;&gt;ChartTable[[#This Row],[Valor Encerrado]]), 1, 0)</f>
        <v>0</v>
      </c>
      <c r="G194" s="18" t="str">
        <f>IF(ChartTable[[#This Row],[Mudou?]]=1, ChartTable[[#This Row],[Valor Encerrado]]-ChartTable[[#This Row],[Valor Ativo]], "")</f>
        <v/>
      </c>
      <c r="H194" s="11" t="str">
        <f>IF(ChartTable[[#This Row],[Mudou?]]=1, IF(ChartTable[[#This Row],[Diferença]]&gt;0, "aumentou", "diminuiu"), "")</f>
        <v/>
      </c>
      <c r="I194" s="11" t="str" cm="1">
        <f t="array" ref="I194">_xlfn.IFS(ChartTable[[#This Row],[Exluido?]]=1,"Excluido",ChartTable[[#This Row],[Novo?]]=1, "Novo", ChartTable[[#This Row],[Mudou?]]=1, "Mudou")</f>
        <v>Novo</v>
      </c>
    </row>
    <row r="195" spans="1:9" x14ac:dyDescent="0.25">
      <c r="A195" t="s">
        <v>204</v>
      </c>
      <c r="B195" s="10">
        <v>11994.079563754722</v>
      </c>
      <c r="C195" s="10"/>
      <c r="D195" s="11">
        <f>IF(AND(ChartTable[[#This Row],[Valor Encerrado]]=0, ChartTable[[#This Row],[Valor Ativo]]=""), 1, 0)</f>
        <v>0</v>
      </c>
      <c r="E195" s="11">
        <f>IF(AND(ChartTable[[#This Row],[Valor Ativo]]&lt;&gt;"", ChartTable[[#This Row],[Valor Encerrado]]=""), 1, 0)</f>
        <v>1</v>
      </c>
      <c r="F195" s="11">
        <f>IF(AND(ChartTable[[#This Row],[Novo?]]=0, ChartTable[[#This Row],[Valor Ativo]]&lt;&gt;ChartTable[[#This Row],[Valor Encerrado]]), 1, 0)</f>
        <v>0</v>
      </c>
      <c r="G195" s="18" t="str">
        <f>IF(ChartTable[[#This Row],[Mudou?]]=1, ChartTable[[#This Row],[Valor Encerrado]]-ChartTable[[#This Row],[Valor Ativo]], "")</f>
        <v/>
      </c>
      <c r="H195" s="11" t="str">
        <f>IF(ChartTable[[#This Row],[Mudou?]]=1, IF(ChartTable[[#This Row],[Diferença]]&gt;0, "aumentou", "diminuiu"), "")</f>
        <v/>
      </c>
      <c r="I195" s="11" t="str" cm="1">
        <f t="array" ref="I195">_xlfn.IFS(ChartTable[[#This Row],[Exluido?]]=1,"Excluido",ChartTable[[#This Row],[Novo?]]=1, "Novo", ChartTable[[#This Row],[Mudou?]]=1, "Mudou")</f>
        <v>Novo</v>
      </c>
    </row>
    <row r="196" spans="1:9" x14ac:dyDescent="0.25">
      <c r="A196" t="s">
        <v>205</v>
      </c>
      <c r="B196" s="10">
        <v>11994.079563754722</v>
      </c>
      <c r="C196" s="10"/>
      <c r="D196" s="11">
        <f>IF(AND(ChartTable[[#This Row],[Valor Encerrado]]=0, ChartTable[[#This Row],[Valor Ativo]]=""), 1, 0)</f>
        <v>0</v>
      </c>
      <c r="E196" s="11">
        <f>IF(AND(ChartTable[[#This Row],[Valor Ativo]]&lt;&gt;"", ChartTable[[#This Row],[Valor Encerrado]]=""), 1, 0)</f>
        <v>1</v>
      </c>
      <c r="F196" s="11">
        <f>IF(AND(ChartTable[[#This Row],[Novo?]]=0, ChartTable[[#This Row],[Valor Ativo]]&lt;&gt;ChartTable[[#This Row],[Valor Encerrado]]), 1, 0)</f>
        <v>0</v>
      </c>
      <c r="G196" s="18" t="str">
        <f>IF(ChartTable[[#This Row],[Mudou?]]=1, ChartTable[[#This Row],[Valor Encerrado]]-ChartTable[[#This Row],[Valor Ativo]], "")</f>
        <v/>
      </c>
      <c r="H196" s="11" t="str">
        <f>IF(ChartTable[[#This Row],[Mudou?]]=1, IF(ChartTable[[#This Row],[Diferença]]&gt;0, "aumentou", "diminuiu"), "")</f>
        <v/>
      </c>
      <c r="I196" s="11" t="str" cm="1">
        <f t="array" ref="I196">_xlfn.IFS(ChartTable[[#This Row],[Exluido?]]=1,"Excluido",ChartTable[[#This Row],[Novo?]]=1, "Novo", ChartTable[[#This Row],[Mudou?]]=1, "Mudou")</f>
        <v>Novo</v>
      </c>
    </row>
    <row r="197" spans="1:9" x14ac:dyDescent="0.25">
      <c r="A197" t="s">
        <v>206</v>
      </c>
      <c r="B197" s="10">
        <v>11994.079563754722</v>
      </c>
      <c r="C197" s="10"/>
      <c r="D197" s="11">
        <f>IF(AND(ChartTable[[#This Row],[Valor Encerrado]]=0, ChartTable[[#This Row],[Valor Ativo]]=""), 1, 0)</f>
        <v>0</v>
      </c>
      <c r="E197" s="11">
        <f>IF(AND(ChartTable[[#This Row],[Valor Ativo]]&lt;&gt;"", ChartTable[[#This Row],[Valor Encerrado]]=""), 1, 0)</f>
        <v>1</v>
      </c>
      <c r="F197" s="11">
        <f>IF(AND(ChartTable[[#This Row],[Novo?]]=0, ChartTable[[#This Row],[Valor Ativo]]&lt;&gt;ChartTable[[#This Row],[Valor Encerrado]]), 1, 0)</f>
        <v>0</v>
      </c>
      <c r="G197" s="18" t="str">
        <f>IF(ChartTable[[#This Row],[Mudou?]]=1, ChartTable[[#This Row],[Valor Encerrado]]-ChartTable[[#This Row],[Valor Ativo]], "")</f>
        <v/>
      </c>
      <c r="H197" s="11" t="str">
        <f>IF(ChartTable[[#This Row],[Mudou?]]=1, IF(ChartTable[[#This Row],[Diferença]]&gt;0, "aumentou", "diminuiu"), "")</f>
        <v/>
      </c>
      <c r="I197" s="11" t="str" cm="1">
        <f t="array" ref="I197">_xlfn.IFS(ChartTable[[#This Row],[Exluido?]]=1,"Excluido",ChartTable[[#This Row],[Novo?]]=1, "Novo", ChartTable[[#This Row],[Mudou?]]=1, "Mudou")</f>
        <v>Novo</v>
      </c>
    </row>
    <row r="198" spans="1:9" x14ac:dyDescent="0.25">
      <c r="A198" t="s">
        <v>207</v>
      </c>
      <c r="B198" s="10">
        <v>11994.079563754722</v>
      </c>
      <c r="C198" s="10"/>
      <c r="D198" s="11">
        <f>IF(AND(ChartTable[[#This Row],[Valor Encerrado]]=0, ChartTable[[#This Row],[Valor Ativo]]=""), 1, 0)</f>
        <v>0</v>
      </c>
      <c r="E198" s="11">
        <f>IF(AND(ChartTable[[#This Row],[Valor Ativo]]&lt;&gt;"", ChartTable[[#This Row],[Valor Encerrado]]=""), 1, 0)</f>
        <v>1</v>
      </c>
      <c r="F198" s="11">
        <f>IF(AND(ChartTable[[#This Row],[Novo?]]=0, ChartTable[[#This Row],[Valor Ativo]]&lt;&gt;ChartTable[[#This Row],[Valor Encerrado]]), 1, 0)</f>
        <v>0</v>
      </c>
      <c r="G198" s="18" t="str">
        <f>IF(ChartTable[[#This Row],[Mudou?]]=1, ChartTable[[#This Row],[Valor Encerrado]]-ChartTable[[#This Row],[Valor Ativo]], "")</f>
        <v/>
      </c>
      <c r="H198" s="11" t="str">
        <f>IF(ChartTable[[#This Row],[Mudou?]]=1, IF(ChartTable[[#This Row],[Diferença]]&gt;0, "aumentou", "diminuiu"), "")</f>
        <v/>
      </c>
      <c r="I198" s="11" t="str" cm="1">
        <f t="array" ref="I198">_xlfn.IFS(ChartTable[[#This Row],[Exluido?]]=1,"Excluido",ChartTable[[#This Row],[Novo?]]=1, "Novo", ChartTable[[#This Row],[Mudou?]]=1, "Mudou")</f>
        <v>Novo</v>
      </c>
    </row>
    <row r="199" spans="1:9" x14ac:dyDescent="0.25">
      <c r="A199" t="s">
        <v>208</v>
      </c>
      <c r="B199" s="10">
        <v>11994.079563754722</v>
      </c>
      <c r="C199" s="10"/>
      <c r="D199" s="11">
        <f>IF(AND(ChartTable[[#This Row],[Valor Encerrado]]=0, ChartTable[[#This Row],[Valor Ativo]]=""), 1, 0)</f>
        <v>0</v>
      </c>
      <c r="E199" s="11">
        <f>IF(AND(ChartTable[[#This Row],[Valor Ativo]]&lt;&gt;"", ChartTable[[#This Row],[Valor Encerrado]]=""), 1, 0)</f>
        <v>1</v>
      </c>
      <c r="F199" s="11">
        <f>IF(AND(ChartTable[[#This Row],[Novo?]]=0, ChartTable[[#This Row],[Valor Ativo]]&lt;&gt;ChartTable[[#This Row],[Valor Encerrado]]), 1, 0)</f>
        <v>0</v>
      </c>
      <c r="G199" s="18" t="str">
        <f>IF(ChartTable[[#This Row],[Mudou?]]=1, ChartTable[[#This Row],[Valor Encerrado]]-ChartTable[[#This Row],[Valor Ativo]], "")</f>
        <v/>
      </c>
      <c r="H199" s="11" t="str">
        <f>IF(ChartTable[[#This Row],[Mudou?]]=1, IF(ChartTable[[#This Row],[Diferença]]&gt;0, "aumentou", "diminuiu"), "")</f>
        <v/>
      </c>
      <c r="I199" s="11" t="str" cm="1">
        <f t="array" ref="I199">_xlfn.IFS(ChartTable[[#This Row],[Exluido?]]=1,"Excluido",ChartTable[[#This Row],[Novo?]]=1, "Novo", ChartTable[[#This Row],[Mudou?]]=1, "Mudou")</f>
        <v>Novo</v>
      </c>
    </row>
    <row r="200" spans="1:9" x14ac:dyDescent="0.25">
      <c r="A200" t="s">
        <v>209</v>
      </c>
      <c r="B200" s="10">
        <v>11994.079563754722</v>
      </c>
      <c r="C200" s="10"/>
      <c r="D200" s="11">
        <f>IF(AND(ChartTable[[#This Row],[Valor Encerrado]]=0, ChartTable[[#This Row],[Valor Ativo]]=""), 1, 0)</f>
        <v>0</v>
      </c>
      <c r="E200" s="11">
        <f>IF(AND(ChartTable[[#This Row],[Valor Ativo]]&lt;&gt;"", ChartTable[[#This Row],[Valor Encerrado]]=""), 1, 0)</f>
        <v>1</v>
      </c>
      <c r="F200" s="11">
        <f>IF(AND(ChartTable[[#This Row],[Novo?]]=0, ChartTable[[#This Row],[Valor Ativo]]&lt;&gt;ChartTable[[#This Row],[Valor Encerrado]]), 1, 0)</f>
        <v>0</v>
      </c>
      <c r="G200" s="18" t="str">
        <f>IF(ChartTable[[#This Row],[Mudou?]]=1, ChartTable[[#This Row],[Valor Encerrado]]-ChartTable[[#This Row],[Valor Ativo]], "")</f>
        <v/>
      </c>
      <c r="H200" s="11" t="str">
        <f>IF(ChartTable[[#This Row],[Mudou?]]=1, IF(ChartTable[[#This Row],[Diferença]]&gt;0, "aumentou", "diminuiu"), "")</f>
        <v/>
      </c>
      <c r="I200" s="11" t="str" cm="1">
        <f t="array" ref="I200">_xlfn.IFS(ChartTable[[#This Row],[Exluido?]]=1,"Excluido",ChartTable[[#This Row],[Novo?]]=1, "Novo", ChartTable[[#This Row],[Mudou?]]=1, "Mudou")</f>
        <v>Novo</v>
      </c>
    </row>
    <row r="201" spans="1:9" x14ac:dyDescent="0.25">
      <c r="A201" t="s">
        <v>210</v>
      </c>
      <c r="B201" s="10">
        <v>11994.079563754722</v>
      </c>
      <c r="C201" s="10"/>
      <c r="D201" s="11">
        <f>IF(AND(ChartTable[[#This Row],[Valor Encerrado]]=0, ChartTable[[#This Row],[Valor Ativo]]=""), 1, 0)</f>
        <v>0</v>
      </c>
      <c r="E201" s="11">
        <f>IF(AND(ChartTable[[#This Row],[Valor Ativo]]&lt;&gt;"", ChartTable[[#This Row],[Valor Encerrado]]=""), 1, 0)</f>
        <v>1</v>
      </c>
      <c r="F201" s="11">
        <f>IF(AND(ChartTable[[#This Row],[Novo?]]=0, ChartTable[[#This Row],[Valor Ativo]]&lt;&gt;ChartTable[[#This Row],[Valor Encerrado]]), 1, 0)</f>
        <v>0</v>
      </c>
      <c r="G201" s="18" t="str">
        <f>IF(ChartTable[[#This Row],[Mudou?]]=1, ChartTable[[#This Row],[Valor Encerrado]]-ChartTable[[#This Row],[Valor Ativo]], "")</f>
        <v/>
      </c>
      <c r="H201" s="11" t="str">
        <f>IF(ChartTable[[#This Row],[Mudou?]]=1, IF(ChartTable[[#This Row],[Diferença]]&gt;0, "aumentou", "diminuiu"), "")</f>
        <v/>
      </c>
      <c r="I201" s="11" t="str" cm="1">
        <f t="array" ref="I201">_xlfn.IFS(ChartTable[[#This Row],[Exluido?]]=1,"Excluido",ChartTable[[#This Row],[Novo?]]=1, "Novo", ChartTable[[#This Row],[Mudou?]]=1, "Mudou")</f>
        <v>Novo</v>
      </c>
    </row>
    <row r="202" spans="1:9" x14ac:dyDescent="0.25">
      <c r="A202" t="s">
        <v>211</v>
      </c>
      <c r="B202" s="10"/>
      <c r="C202" s="10">
        <v>11994.079563754722</v>
      </c>
      <c r="D202" s="11">
        <f>IF(AND(ChartTable[[#This Row],[Valor Encerrado]]=0, ChartTable[[#This Row],[Valor Ativo]]=""), 1, 0)</f>
        <v>0</v>
      </c>
      <c r="E202" s="11">
        <f>IF(AND(ChartTable[[#This Row],[Valor Ativo]]&lt;&gt;"", ChartTable[[#This Row],[Valor Encerrado]]=""), 1, 0)</f>
        <v>0</v>
      </c>
      <c r="F202" s="11">
        <f>IF(AND(ChartTable[[#This Row],[Novo?]]=0, ChartTable[[#This Row],[Valor Ativo]]&lt;&gt;ChartTable[[#This Row],[Valor Encerrado]]), 1, 0)</f>
        <v>1</v>
      </c>
      <c r="G202" s="18">
        <f>IF(ChartTable[[#This Row],[Mudou?]]=1, ChartTable[[#This Row],[Valor Encerrado]]-ChartTable[[#This Row],[Valor Ativo]], "")</f>
        <v>11994.079563754722</v>
      </c>
      <c r="H202" s="11" t="str">
        <f>IF(ChartTable[[#This Row],[Mudou?]]=1, IF(ChartTable[[#This Row],[Diferença]]&gt;0, "aumentou", "diminuiu"), "")</f>
        <v>aumentou</v>
      </c>
      <c r="I202" s="11" t="str" cm="1">
        <f t="array" ref="I202">_xlfn.IFS(ChartTable[[#This Row],[Exluido?]]=1,"Excluido",ChartTable[[#This Row],[Novo?]]=1, "Novo", ChartTable[[#This Row],[Mudou?]]=1, "Mudou")</f>
        <v>Mudou</v>
      </c>
    </row>
    <row r="203" spans="1:9" x14ac:dyDescent="0.25">
      <c r="A203" t="s">
        <v>212</v>
      </c>
      <c r="B203" s="10">
        <v>11994.079563754722</v>
      </c>
      <c r="C203" s="10"/>
      <c r="D203" s="11">
        <f>IF(AND(ChartTable[[#This Row],[Valor Encerrado]]=0, ChartTable[[#This Row],[Valor Ativo]]=""), 1, 0)</f>
        <v>0</v>
      </c>
      <c r="E203" s="11">
        <f>IF(AND(ChartTable[[#This Row],[Valor Ativo]]&lt;&gt;"", ChartTable[[#This Row],[Valor Encerrado]]=""), 1, 0)</f>
        <v>1</v>
      </c>
      <c r="F203" s="11">
        <f>IF(AND(ChartTable[[#This Row],[Novo?]]=0, ChartTable[[#This Row],[Valor Ativo]]&lt;&gt;ChartTable[[#This Row],[Valor Encerrado]]), 1, 0)</f>
        <v>0</v>
      </c>
      <c r="G203" s="18" t="str">
        <f>IF(ChartTable[[#This Row],[Mudou?]]=1, ChartTable[[#This Row],[Valor Encerrado]]-ChartTable[[#This Row],[Valor Ativo]], "")</f>
        <v/>
      </c>
      <c r="H203" s="11" t="str">
        <f>IF(ChartTable[[#This Row],[Mudou?]]=1, IF(ChartTable[[#This Row],[Diferença]]&gt;0, "aumentou", "diminuiu"), "")</f>
        <v/>
      </c>
      <c r="I203" s="11" t="str" cm="1">
        <f t="array" ref="I203">_xlfn.IFS(ChartTable[[#This Row],[Exluido?]]=1,"Excluido",ChartTable[[#This Row],[Novo?]]=1, "Novo", ChartTable[[#This Row],[Mudou?]]=1, "Mudou")</f>
        <v>Novo</v>
      </c>
    </row>
    <row r="204" spans="1:9" x14ac:dyDescent="0.25">
      <c r="A204" t="s">
        <v>213</v>
      </c>
      <c r="B204" s="10">
        <v>11994.079563754722</v>
      </c>
      <c r="C204" s="10"/>
      <c r="D204" s="11">
        <f>IF(AND(ChartTable[[#This Row],[Valor Encerrado]]=0, ChartTable[[#This Row],[Valor Ativo]]=""), 1, 0)</f>
        <v>0</v>
      </c>
      <c r="E204" s="11">
        <f>IF(AND(ChartTable[[#This Row],[Valor Ativo]]&lt;&gt;"", ChartTable[[#This Row],[Valor Encerrado]]=""), 1, 0)</f>
        <v>1</v>
      </c>
      <c r="F204" s="11">
        <f>IF(AND(ChartTable[[#This Row],[Novo?]]=0, ChartTable[[#This Row],[Valor Ativo]]&lt;&gt;ChartTable[[#This Row],[Valor Encerrado]]), 1, 0)</f>
        <v>0</v>
      </c>
      <c r="G204" s="18" t="str">
        <f>IF(ChartTable[[#This Row],[Mudou?]]=1, ChartTable[[#This Row],[Valor Encerrado]]-ChartTable[[#This Row],[Valor Ativo]], "")</f>
        <v/>
      </c>
      <c r="H204" s="11" t="str">
        <f>IF(ChartTable[[#This Row],[Mudou?]]=1, IF(ChartTable[[#This Row],[Diferença]]&gt;0, "aumentou", "diminuiu"), "")</f>
        <v/>
      </c>
      <c r="I204" s="11" t="str" cm="1">
        <f t="array" ref="I204">_xlfn.IFS(ChartTable[[#This Row],[Exluido?]]=1,"Excluido",ChartTable[[#This Row],[Novo?]]=1, "Novo", ChartTable[[#This Row],[Mudou?]]=1, "Mudou")</f>
        <v>Novo</v>
      </c>
    </row>
    <row r="205" spans="1:9" x14ac:dyDescent="0.25">
      <c r="A205" t="s">
        <v>214</v>
      </c>
      <c r="B205" s="10">
        <v>11994.079563754722</v>
      </c>
      <c r="C205" s="10"/>
      <c r="D205" s="11">
        <f>IF(AND(ChartTable[[#This Row],[Valor Encerrado]]=0, ChartTable[[#This Row],[Valor Ativo]]=""), 1, 0)</f>
        <v>0</v>
      </c>
      <c r="E205" s="11">
        <f>IF(AND(ChartTable[[#This Row],[Valor Ativo]]&lt;&gt;"", ChartTable[[#This Row],[Valor Encerrado]]=""), 1, 0)</f>
        <v>1</v>
      </c>
      <c r="F205" s="11">
        <f>IF(AND(ChartTable[[#This Row],[Novo?]]=0, ChartTable[[#This Row],[Valor Ativo]]&lt;&gt;ChartTable[[#This Row],[Valor Encerrado]]), 1, 0)</f>
        <v>0</v>
      </c>
      <c r="G205" s="18" t="str">
        <f>IF(ChartTable[[#This Row],[Mudou?]]=1, ChartTable[[#This Row],[Valor Encerrado]]-ChartTable[[#This Row],[Valor Ativo]], "")</f>
        <v/>
      </c>
      <c r="H205" s="11" t="str">
        <f>IF(ChartTable[[#This Row],[Mudou?]]=1, IF(ChartTable[[#This Row],[Diferença]]&gt;0, "aumentou", "diminuiu"), "")</f>
        <v/>
      </c>
      <c r="I205" s="11" t="str" cm="1">
        <f t="array" ref="I205">_xlfn.IFS(ChartTable[[#This Row],[Exluido?]]=1,"Excluido",ChartTable[[#This Row],[Novo?]]=1, "Novo", ChartTable[[#This Row],[Mudou?]]=1, "Mudou")</f>
        <v>Novo</v>
      </c>
    </row>
    <row r="206" spans="1:9" x14ac:dyDescent="0.25">
      <c r="A206" t="s">
        <v>215</v>
      </c>
      <c r="B206" s="10">
        <v>11994.079563754722</v>
      </c>
      <c r="C206" s="10"/>
      <c r="D206" s="11">
        <f>IF(AND(ChartTable[[#This Row],[Valor Encerrado]]=0, ChartTable[[#This Row],[Valor Ativo]]=""), 1, 0)</f>
        <v>0</v>
      </c>
      <c r="E206" s="11">
        <f>IF(AND(ChartTable[[#This Row],[Valor Ativo]]&lt;&gt;"", ChartTable[[#This Row],[Valor Encerrado]]=""), 1, 0)</f>
        <v>1</v>
      </c>
      <c r="F206" s="11">
        <f>IF(AND(ChartTable[[#This Row],[Novo?]]=0, ChartTable[[#This Row],[Valor Ativo]]&lt;&gt;ChartTable[[#This Row],[Valor Encerrado]]), 1, 0)</f>
        <v>0</v>
      </c>
      <c r="G206" s="18" t="str">
        <f>IF(ChartTable[[#This Row],[Mudou?]]=1, ChartTable[[#This Row],[Valor Encerrado]]-ChartTable[[#This Row],[Valor Ativo]], "")</f>
        <v/>
      </c>
      <c r="H206" s="11" t="str">
        <f>IF(ChartTable[[#This Row],[Mudou?]]=1, IF(ChartTable[[#This Row],[Diferença]]&gt;0, "aumentou", "diminuiu"), "")</f>
        <v/>
      </c>
      <c r="I206" s="11" t="str" cm="1">
        <f t="array" ref="I206">_xlfn.IFS(ChartTable[[#This Row],[Exluido?]]=1,"Excluido",ChartTable[[#This Row],[Novo?]]=1, "Novo", ChartTable[[#This Row],[Mudou?]]=1, "Mudou")</f>
        <v>Novo</v>
      </c>
    </row>
    <row r="207" spans="1:9" x14ac:dyDescent="0.25">
      <c r="A207" t="s">
        <v>216</v>
      </c>
      <c r="B207" s="10">
        <v>11994.079563754722</v>
      </c>
      <c r="C207" s="10"/>
      <c r="D207" s="11">
        <f>IF(AND(ChartTable[[#This Row],[Valor Encerrado]]=0, ChartTable[[#This Row],[Valor Ativo]]=""), 1, 0)</f>
        <v>0</v>
      </c>
      <c r="E207" s="11">
        <f>IF(AND(ChartTable[[#This Row],[Valor Ativo]]&lt;&gt;"", ChartTable[[#This Row],[Valor Encerrado]]=""), 1, 0)</f>
        <v>1</v>
      </c>
      <c r="F207" s="11">
        <f>IF(AND(ChartTable[[#This Row],[Novo?]]=0, ChartTable[[#This Row],[Valor Ativo]]&lt;&gt;ChartTable[[#This Row],[Valor Encerrado]]), 1, 0)</f>
        <v>0</v>
      </c>
      <c r="G207" s="18" t="str">
        <f>IF(ChartTable[[#This Row],[Mudou?]]=1, ChartTable[[#This Row],[Valor Encerrado]]-ChartTable[[#This Row],[Valor Ativo]], "")</f>
        <v/>
      </c>
      <c r="H207" s="11" t="str">
        <f>IF(ChartTable[[#This Row],[Mudou?]]=1, IF(ChartTable[[#This Row],[Diferença]]&gt;0, "aumentou", "diminuiu"), "")</f>
        <v/>
      </c>
      <c r="I207" s="11" t="str" cm="1">
        <f t="array" ref="I207">_xlfn.IFS(ChartTable[[#This Row],[Exluido?]]=1,"Excluido",ChartTable[[#This Row],[Novo?]]=1, "Novo", ChartTable[[#This Row],[Mudou?]]=1, "Mudou")</f>
        <v>Novo</v>
      </c>
    </row>
    <row r="208" spans="1:9" x14ac:dyDescent="0.25">
      <c r="A208" t="s">
        <v>217</v>
      </c>
      <c r="B208" s="10">
        <v>11994.079563754722</v>
      </c>
      <c r="C208" s="10"/>
      <c r="D208" s="11">
        <f>IF(AND(ChartTable[[#This Row],[Valor Encerrado]]=0, ChartTable[[#This Row],[Valor Ativo]]=""), 1, 0)</f>
        <v>0</v>
      </c>
      <c r="E208" s="11">
        <f>IF(AND(ChartTable[[#This Row],[Valor Ativo]]&lt;&gt;"", ChartTable[[#This Row],[Valor Encerrado]]=""), 1, 0)</f>
        <v>1</v>
      </c>
      <c r="F208" s="11">
        <f>IF(AND(ChartTable[[#This Row],[Novo?]]=0, ChartTable[[#This Row],[Valor Ativo]]&lt;&gt;ChartTable[[#This Row],[Valor Encerrado]]), 1, 0)</f>
        <v>0</v>
      </c>
      <c r="G208" s="18" t="str">
        <f>IF(ChartTable[[#This Row],[Mudou?]]=1, ChartTable[[#This Row],[Valor Encerrado]]-ChartTable[[#This Row],[Valor Ativo]], "")</f>
        <v/>
      </c>
      <c r="H208" s="11" t="str">
        <f>IF(ChartTable[[#This Row],[Mudou?]]=1, IF(ChartTable[[#This Row],[Diferença]]&gt;0, "aumentou", "diminuiu"), "")</f>
        <v/>
      </c>
      <c r="I208" s="11" t="str" cm="1">
        <f t="array" ref="I208">_xlfn.IFS(ChartTable[[#This Row],[Exluido?]]=1,"Excluido",ChartTable[[#This Row],[Novo?]]=1, "Novo", ChartTable[[#This Row],[Mudou?]]=1, "Mudou")</f>
        <v>Novo</v>
      </c>
    </row>
    <row r="209" spans="1:9" x14ac:dyDescent="0.25">
      <c r="A209" t="s">
        <v>218</v>
      </c>
      <c r="B209" s="10">
        <v>11994.079563754722</v>
      </c>
      <c r="C209" s="10"/>
      <c r="D209" s="11">
        <f>IF(AND(ChartTable[[#This Row],[Valor Encerrado]]=0, ChartTable[[#This Row],[Valor Ativo]]=""), 1, 0)</f>
        <v>0</v>
      </c>
      <c r="E209" s="11">
        <f>IF(AND(ChartTable[[#This Row],[Valor Ativo]]&lt;&gt;"", ChartTable[[#This Row],[Valor Encerrado]]=""), 1, 0)</f>
        <v>1</v>
      </c>
      <c r="F209" s="11">
        <f>IF(AND(ChartTable[[#This Row],[Novo?]]=0, ChartTable[[#This Row],[Valor Ativo]]&lt;&gt;ChartTable[[#This Row],[Valor Encerrado]]), 1, 0)</f>
        <v>0</v>
      </c>
      <c r="G209" s="18" t="str">
        <f>IF(ChartTable[[#This Row],[Mudou?]]=1, ChartTable[[#This Row],[Valor Encerrado]]-ChartTable[[#This Row],[Valor Ativo]], "")</f>
        <v/>
      </c>
      <c r="H209" s="11" t="str">
        <f>IF(ChartTable[[#This Row],[Mudou?]]=1, IF(ChartTable[[#This Row],[Diferença]]&gt;0, "aumentou", "diminuiu"), "")</f>
        <v/>
      </c>
      <c r="I209" s="11" t="str" cm="1">
        <f t="array" ref="I209">_xlfn.IFS(ChartTable[[#This Row],[Exluido?]]=1,"Excluido",ChartTable[[#This Row],[Novo?]]=1, "Novo", ChartTable[[#This Row],[Mudou?]]=1, "Mudou")</f>
        <v>Novo</v>
      </c>
    </row>
    <row r="210" spans="1:9" x14ac:dyDescent="0.25">
      <c r="A210" t="s">
        <v>219</v>
      </c>
      <c r="B210" s="10">
        <v>11994.079563754722</v>
      </c>
      <c r="C210" s="10"/>
      <c r="D210" s="11">
        <f>IF(AND(ChartTable[[#This Row],[Valor Encerrado]]=0, ChartTable[[#This Row],[Valor Ativo]]=""), 1, 0)</f>
        <v>0</v>
      </c>
      <c r="E210" s="11">
        <f>IF(AND(ChartTable[[#This Row],[Valor Ativo]]&lt;&gt;"", ChartTable[[#This Row],[Valor Encerrado]]=""), 1, 0)</f>
        <v>1</v>
      </c>
      <c r="F210" s="11">
        <f>IF(AND(ChartTable[[#This Row],[Novo?]]=0, ChartTable[[#This Row],[Valor Ativo]]&lt;&gt;ChartTable[[#This Row],[Valor Encerrado]]), 1, 0)</f>
        <v>0</v>
      </c>
      <c r="G210" s="18" t="str">
        <f>IF(ChartTable[[#This Row],[Mudou?]]=1, ChartTable[[#This Row],[Valor Encerrado]]-ChartTable[[#This Row],[Valor Ativo]], "")</f>
        <v/>
      </c>
      <c r="H210" s="11" t="str">
        <f>IF(ChartTable[[#This Row],[Mudou?]]=1, IF(ChartTable[[#This Row],[Diferença]]&gt;0, "aumentou", "diminuiu"), "")</f>
        <v/>
      </c>
      <c r="I210" s="11" t="str" cm="1">
        <f t="array" ref="I210">_xlfn.IFS(ChartTable[[#This Row],[Exluido?]]=1,"Excluido",ChartTable[[#This Row],[Novo?]]=1, "Novo", ChartTable[[#This Row],[Mudou?]]=1, "Mudou")</f>
        <v>Novo</v>
      </c>
    </row>
    <row r="211" spans="1:9" x14ac:dyDescent="0.25">
      <c r="A211" t="s">
        <v>220</v>
      </c>
      <c r="B211" s="10">
        <v>11994.079563754722</v>
      </c>
      <c r="C211" s="10"/>
      <c r="D211" s="11">
        <f>IF(AND(ChartTable[[#This Row],[Valor Encerrado]]=0, ChartTable[[#This Row],[Valor Ativo]]=""), 1, 0)</f>
        <v>0</v>
      </c>
      <c r="E211" s="11">
        <f>IF(AND(ChartTable[[#This Row],[Valor Ativo]]&lt;&gt;"", ChartTable[[#This Row],[Valor Encerrado]]=""), 1, 0)</f>
        <v>1</v>
      </c>
      <c r="F211" s="11">
        <f>IF(AND(ChartTable[[#This Row],[Novo?]]=0, ChartTable[[#This Row],[Valor Ativo]]&lt;&gt;ChartTable[[#This Row],[Valor Encerrado]]), 1, 0)</f>
        <v>0</v>
      </c>
      <c r="G211" s="18" t="str">
        <f>IF(ChartTable[[#This Row],[Mudou?]]=1, ChartTable[[#This Row],[Valor Encerrado]]-ChartTable[[#This Row],[Valor Ativo]], "")</f>
        <v/>
      </c>
      <c r="H211" s="11" t="str">
        <f>IF(ChartTable[[#This Row],[Mudou?]]=1, IF(ChartTable[[#This Row],[Diferença]]&gt;0, "aumentou", "diminuiu"), "")</f>
        <v/>
      </c>
      <c r="I211" s="11" t="str" cm="1">
        <f t="array" ref="I211">_xlfn.IFS(ChartTable[[#This Row],[Exluido?]]=1,"Excluido",ChartTable[[#This Row],[Novo?]]=1, "Novo", ChartTable[[#This Row],[Mudou?]]=1, "Mudou")</f>
        <v>Novo</v>
      </c>
    </row>
    <row r="212" spans="1:9" x14ac:dyDescent="0.25">
      <c r="A212" t="s">
        <v>221</v>
      </c>
      <c r="B212" s="10">
        <v>11994.079563754722</v>
      </c>
      <c r="C212" s="10"/>
      <c r="D212" s="11">
        <f>IF(AND(ChartTable[[#This Row],[Valor Encerrado]]=0, ChartTable[[#This Row],[Valor Ativo]]=""), 1, 0)</f>
        <v>0</v>
      </c>
      <c r="E212" s="11">
        <f>IF(AND(ChartTable[[#This Row],[Valor Ativo]]&lt;&gt;"", ChartTable[[#This Row],[Valor Encerrado]]=""), 1, 0)</f>
        <v>1</v>
      </c>
      <c r="F212" s="11">
        <f>IF(AND(ChartTable[[#This Row],[Novo?]]=0, ChartTable[[#This Row],[Valor Ativo]]&lt;&gt;ChartTable[[#This Row],[Valor Encerrado]]), 1, 0)</f>
        <v>0</v>
      </c>
      <c r="G212" s="18" t="str">
        <f>IF(ChartTable[[#This Row],[Mudou?]]=1, ChartTable[[#This Row],[Valor Encerrado]]-ChartTable[[#This Row],[Valor Ativo]], "")</f>
        <v/>
      </c>
      <c r="H212" s="11" t="str">
        <f>IF(ChartTable[[#This Row],[Mudou?]]=1, IF(ChartTable[[#This Row],[Diferença]]&gt;0, "aumentou", "diminuiu"), "")</f>
        <v/>
      </c>
      <c r="I212" s="11" t="str" cm="1">
        <f t="array" ref="I212">_xlfn.IFS(ChartTable[[#This Row],[Exluido?]]=1,"Excluido",ChartTable[[#This Row],[Novo?]]=1, "Novo", ChartTable[[#This Row],[Mudou?]]=1, "Mudou")</f>
        <v>Novo</v>
      </c>
    </row>
    <row r="213" spans="1:9" x14ac:dyDescent="0.25">
      <c r="A213" t="s">
        <v>222</v>
      </c>
      <c r="B213" s="10">
        <v>11994.079563754722</v>
      </c>
      <c r="C213" s="10"/>
      <c r="D213" s="11">
        <f>IF(AND(ChartTable[[#This Row],[Valor Encerrado]]=0, ChartTable[[#This Row],[Valor Ativo]]=""), 1, 0)</f>
        <v>0</v>
      </c>
      <c r="E213" s="11">
        <f>IF(AND(ChartTable[[#This Row],[Valor Ativo]]&lt;&gt;"", ChartTable[[#This Row],[Valor Encerrado]]=""), 1, 0)</f>
        <v>1</v>
      </c>
      <c r="F213" s="11">
        <f>IF(AND(ChartTable[[#This Row],[Novo?]]=0, ChartTable[[#This Row],[Valor Ativo]]&lt;&gt;ChartTable[[#This Row],[Valor Encerrado]]), 1, 0)</f>
        <v>0</v>
      </c>
      <c r="G213" s="18" t="str">
        <f>IF(ChartTable[[#This Row],[Mudou?]]=1, ChartTable[[#This Row],[Valor Encerrado]]-ChartTable[[#This Row],[Valor Ativo]], "")</f>
        <v/>
      </c>
      <c r="H213" s="11" t="str">
        <f>IF(ChartTable[[#This Row],[Mudou?]]=1, IF(ChartTable[[#This Row],[Diferença]]&gt;0, "aumentou", "diminuiu"), "")</f>
        <v/>
      </c>
      <c r="I213" s="11" t="str" cm="1">
        <f t="array" ref="I213">_xlfn.IFS(ChartTable[[#This Row],[Exluido?]]=1,"Excluido",ChartTable[[#This Row],[Novo?]]=1, "Novo", ChartTable[[#This Row],[Mudou?]]=1, "Mudou")</f>
        <v>Novo</v>
      </c>
    </row>
    <row r="214" spans="1:9" x14ac:dyDescent="0.25">
      <c r="A214" t="s">
        <v>223</v>
      </c>
      <c r="B214" s="10">
        <v>11994.079563754722</v>
      </c>
      <c r="C214" s="10"/>
      <c r="D214" s="11">
        <f>IF(AND(ChartTable[[#This Row],[Valor Encerrado]]=0, ChartTable[[#This Row],[Valor Ativo]]=""), 1, 0)</f>
        <v>0</v>
      </c>
      <c r="E214" s="11">
        <f>IF(AND(ChartTable[[#This Row],[Valor Ativo]]&lt;&gt;"", ChartTable[[#This Row],[Valor Encerrado]]=""), 1, 0)</f>
        <v>1</v>
      </c>
      <c r="F214" s="11">
        <f>IF(AND(ChartTable[[#This Row],[Novo?]]=0, ChartTable[[#This Row],[Valor Ativo]]&lt;&gt;ChartTable[[#This Row],[Valor Encerrado]]), 1, 0)</f>
        <v>0</v>
      </c>
      <c r="G214" s="18" t="str">
        <f>IF(ChartTable[[#This Row],[Mudou?]]=1, ChartTable[[#This Row],[Valor Encerrado]]-ChartTable[[#This Row],[Valor Ativo]], "")</f>
        <v/>
      </c>
      <c r="H214" s="11" t="str">
        <f>IF(ChartTable[[#This Row],[Mudou?]]=1, IF(ChartTable[[#This Row],[Diferença]]&gt;0, "aumentou", "diminuiu"), "")</f>
        <v/>
      </c>
      <c r="I214" s="11" t="str" cm="1">
        <f t="array" ref="I214">_xlfn.IFS(ChartTable[[#This Row],[Exluido?]]=1,"Excluido",ChartTable[[#This Row],[Novo?]]=1, "Novo", ChartTable[[#This Row],[Mudou?]]=1, "Mudou")</f>
        <v>Novo</v>
      </c>
    </row>
    <row r="215" spans="1:9" x14ac:dyDescent="0.25">
      <c r="A215" t="s">
        <v>224</v>
      </c>
      <c r="B215" s="10">
        <v>11994.079563754722</v>
      </c>
      <c r="C215" s="10"/>
      <c r="D215" s="11">
        <f>IF(AND(ChartTable[[#This Row],[Valor Encerrado]]=0, ChartTable[[#This Row],[Valor Ativo]]=""), 1, 0)</f>
        <v>0</v>
      </c>
      <c r="E215" s="11">
        <f>IF(AND(ChartTable[[#This Row],[Valor Ativo]]&lt;&gt;"", ChartTable[[#This Row],[Valor Encerrado]]=""), 1, 0)</f>
        <v>1</v>
      </c>
      <c r="F215" s="11">
        <f>IF(AND(ChartTable[[#This Row],[Novo?]]=0, ChartTable[[#This Row],[Valor Ativo]]&lt;&gt;ChartTable[[#This Row],[Valor Encerrado]]), 1, 0)</f>
        <v>0</v>
      </c>
      <c r="G215" s="18" t="str">
        <f>IF(ChartTable[[#This Row],[Mudou?]]=1, ChartTable[[#This Row],[Valor Encerrado]]-ChartTable[[#This Row],[Valor Ativo]], "")</f>
        <v/>
      </c>
      <c r="H215" s="11" t="str">
        <f>IF(ChartTable[[#This Row],[Mudou?]]=1, IF(ChartTable[[#This Row],[Diferença]]&gt;0, "aumentou", "diminuiu"), "")</f>
        <v/>
      </c>
      <c r="I215" s="11" t="str" cm="1">
        <f t="array" ref="I215">_xlfn.IFS(ChartTable[[#This Row],[Exluido?]]=1,"Excluido",ChartTable[[#This Row],[Novo?]]=1, "Novo", ChartTable[[#This Row],[Mudou?]]=1, "Mudou")</f>
        <v>Novo</v>
      </c>
    </row>
    <row r="216" spans="1:9" x14ac:dyDescent="0.25">
      <c r="A216" t="s">
        <v>225</v>
      </c>
      <c r="B216" s="10">
        <v>11994.079563754722</v>
      </c>
      <c r="C216" s="10"/>
      <c r="D216" s="11">
        <f>IF(AND(ChartTable[[#This Row],[Valor Encerrado]]=0, ChartTable[[#This Row],[Valor Ativo]]=""), 1, 0)</f>
        <v>0</v>
      </c>
      <c r="E216" s="11">
        <f>IF(AND(ChartTable[[#This Row],[Valor Ativo]]&lt;&gt;"", ChartTable[[#This Row],[Valor Encerrado]]=""), 1, 0)</f>
        <v>1</v>
      </c>
      <c r="F216" s="11">
        <f>IF(AND(ChartTable[[#This Row],[Novo?]]=0, ChartTable[[#This Row],[Valor Ativo]]&lt;&gt;ChartTable[[#This Row],[Valor Encerrado]]), 1, 0)</f>
        <v>0</v>
      </c>
      <c r="G216" s="18" t="str">
        <f>IF(ChartTable[[#This Row],[Mudou?]]=1, ChartTable[[#This Row],[Valor Encerrado]]-ChartTable[[#This Row],[Valor Ativo]], "")</f>
        <v/>
      </c>
      <c r="H216" s="11" t="str">
        <f>IF(ChartTable[[#This Row],[Mudou?]]=1, IF(ChartTable[[#This Row],[Diferença]]&gt;0, "aumentou", "diminuiu"), "")</f>
        <v/>
      </c>
      <c r="I216" s="11" t="str" cm="1">
        <f t="array" ref="I216">_xlfn.IFS(ChartTable[[#This Row],[Exluido?]]=1,"Excluido",ChartTable[[#This Row],[Novo?]]=1, "Novo", ChartTable[[#This Row],[Mudou?]]=1, "Mudou")</f>
        <v>Novo</v>
      </c>
    </row>
    <row r="217" spans="1:9" x14ac:dyDescent="0.25">
      <c r="A217" t="s">
        <v>226</v>
      </c>
      <c r="B217" s="10">
        <v>11994.079563754722</v>
      </c>
      <c r="C217" s="10"/>
      <c r="D217" s="11">
        <f>IF(AND(ChartTable[[#This Row],[Valor Encerrado]]=0, ChartTable[[#This Row],[Valor Ativo]]=""), 1, 0)</f>
        <v>0</v>
      </c>
      <c r="E217" s="11">
        <f>IF(AND(ChartTable[[#This Row],[Valor Ativo]]&lt;&gt;"", ChartTable[[#This Row],[Valor Encerrado]]=""), 1, 0)</f>
        <v>1</v>
      </c>
      <c r="F217" s="11">
        <f>IF(AND(ChartTable[[#This Row],[Novo?]]=0, ChartTable[[#This Row],[Valor Ativo]]&lt;&gt;ChartTable[[#This Row],[Valor Encerrado]]), 1, 0)</f>
        <v>0</v>
      </c>
      <c r="G217" s="18" t="str">
        <f>IF(ChartTable[[#This Row],[Mudou?]]=1, ChartTable[[#This Row],[Valor Encerrado]]-ChartTable[[#This Row],[Valor Ativo]], "")</f>
        <v/>
      </c>
      <c r="H217" s="11" t="str">
        <f>IF(ChartTable[[#This Row],[Mudou?]]=1, IF(ChartTable[[#This Row],[Diferença]]&gt;0, "aumentou", "diminuiu"), "")</f>
        <v/>
      </c>
      <c r="I217" s="11" t="str" cm="1">
        <f t="array" ref="I217">_xlfn.IFS(ChartTable[[#This Row],[Exluido?]]=1,"Excluido",ChartTable[[#This Row],[Novo?]]=1, "Novo", ChartTable[[#This Row],[Mudou?]]=1, "Mudou")</f>
        <v>Novo</v>
      </c>
    </row>
    <row r="218" spans="1:9" x14ac:dyDescent="0.25">
      <c r="A218" t="s">
        <v>227</v>
      </c>
      <c r="B218" s="10">
        <v>11994.079563754722</v>
      </c>
      <c r="C218" s="10"/>
      <c r="D218" s="11">
        <f>IF(AND(ChartTable[[#This Row],[Valor Encerrado]]=0, ChartTable[[#This Row],[Valor Ativo]]=""), 1, 0)</f>
        <v>0</v>
      </c>
      <c r="E218" s="11">
        <f>IF(AND(ChartTable[[#This Row],[Valor Ativo]]&lt;&gt;"", ChartTable[[#This Row],[Valor Encerrado]]=""), 1, 0)</f>
        <v>1</v>
      </c>
      <c r="F218" s="11">
        <f>IF(AND(ChartTable[[#This Row],[Novo?]]=0, ChartTable[[#This Row],[Valor Ativo]]&lt;&gt;ChartTable[[#This Row],[Valor Encerrado]]), 1, 0)</f>
        <v>0</v>
      </c>
      <c r="G218" s="18" t="str">
        <f>IF(ChartTable[[#This Row],[Mudou?]]=1, ChartTable[[#This Row],[Valor Encerrado]]-ChartTable[[#This Row],[Valor Ativo]], "")</f>
        <v/>
      </c>
      <c r="H218" s="11" t="str">
        <f>IF(ChartTable[[#This Row],[Mudou?]]=1, IF(ChartTable[[#This Row],[Diferença]]&gt;0, "aumentou", "diminuiu"), "")</f>
        <v/>
      </c>
      <c r="I218" s="11" t="str" cm="1">
        <f t="array" ref="I218">_xlfn.IFS(ChartTable[[#This Row],[Exluido?]]=1,"Excluido",ChartTable[[#This Row],[Novo?]]=1, "Novo", ChartTable[[#This Row],[Mudou?]]=1, "Mudou")</f>
        <v>Novo</v>
      </c>
    </row>
    <row r="219" spans="1:9" x14ac:dyDescent="0.25">
      <c r="A219" t="s">
        <v>228</v>
      </c>
      <c r="B219" s="10">
        <v>11994.079563754722</v>
      </c>
      <c r="C219" s="10"/>
      <c r="D219" s="11">
        <f>IF(AND(ChartTable[[#This Row],[Valor Encerrado]]=0, ChartTable[[#This Row],[Valor Ativo]]=""), 1, 0)</f>
        <v>0</v>
      </c>
      <c r="E219" s="11">
        <f>IF(AND(ChartTable[[#This Row],[Valor Ativo]]&lt;&gt;"", ChartTable[[#This Row],[Valor Encerrado]]=""), 1, 0)</f>
        <v>1</v>
      </c>
      <c r="F219" s="11">
        <f>IF(AND(ChartTable[[#This Row],[Novo?]]=0, ChartTable[[#This Row],[Valor Ativo]]&lt;&gt;ChartTable[[#This Row],[Valor Encerrado]]), 1, 0)</f>
        <v>0</v>
      </c>
      <c r="G219" s="18" t="str">
        <f>IF(ChartTable[[#This Row],[Mudou?]]=1, ChartTable[[#This Row],[Valor Encerrado]]-ChartTable[[#This Row],[Valor Ativo]], "")</f>
        <v/>
      </c>
      <c r="H219" s="11" t="str">
        <f>IF(ChartTable[[#This Row],[Mudou?]]=1, IF(ChartTable[[#This Row],[Diferença]]&gt;0, "aumentou", "diminuiu"), "")</f>
        <v/>
      </c>
      <c r="I219" s="11" t="str" cm="1">
        <f t="array" ref="I219">_xlfn.IFS(ChartTable[[#This Row],[Exluido?]]=1,"Excluido",ChartTable[[#This Row],[Novo?]]=1, "Novo", ChartTable[[#This Row],[Mudou?]]=1, "Mudou")</f>
        <v>Novo</v>
      </c>
    </row>
    <row r="220" spans="1:9" x14ac:dyDescent="0.25">
      <c r="A220" t="s">
        <v>229</v>
      </c>
      <c r="B220" s="10">
        <v>11994.079563754722</v>
      </c>
      <c r="C220" s="10"/>
      <c r="D220" s="11">
        <f>IF(AND(ChartTable[[#This Row],[Valor Encerrado]]=0, ChartTable[[#This Row],[Valor Ativo]]=""), 1, 0)</f>
        <v>0</v>
      </c>
      <c r="E220" s="11">
        <f>IF(AND(ChartTable[[#This Row],[Valor Ativo]]&lt;&gt;"", ChartTable[[#This Row],[Valor Encerrado]]=""), 1, 0)</f>
        <v>1</v>
      </c>
      <c r="F220" s="11">
        <f>IF(AND(ChartTable[[#This Row],[Novo?]]=0, ChartTable[[#This Row],[Valor Ativo]]&lt;&gt;ChartTable[[#This Row],[Valor Encerrado]]), 1, 0)</f>
        <v>0</v>
      </c>
      <c r="G220" s="18" t="str">
        <f>IF(ChartTable[[#This Row],[Mudou?]]=1, ChartTable[[#This Row],[Valor Encerrado]]-ChartTable[[#This Row],[Valor Ativo]], "")</f>
        <v/>
      </c>
      <c r="H220" s="11" t="str">
        <f>IF(ChartTable[[#This Row],[Mudou?]]=1, IF(ChartTable[[#This Row],[Diferença]]&gt;0, "aumentou", "diminuiu"), "")</f>
        <v/>
      </c>
      <c r="I220" s="11" t="str" cm="1">
        <f t="array" ref="I220">_xlfn.IFS(ChartTable[[#This Row],[Exluido?]]=1,"Excluido",ChartTable[[#This Row],[Novo?]]=1, "Novo", ChartTable[[#This Row],[Mudou?]]=1, "Mudou")</f>
        <v>Novo</v>
      </c>
    </row>
    <row r="221" spans="1:9" x14ac:dyDescent="0.25">
      <c r="A221" t="s">
        <v>230</v>
      </c>
      <c r="B221" s="10">
        <v>11994.079563754722</v>
      </c>
      <c r="C221" s="10"/>
      <c r="D221" s="11">
        <f>IF(AND(ChartTable[[#This Row],[Valor Encerrado]]=0, ChartTable[[#This Row],[Valor Ativo]]=""), 1, 0)</f>
        <v>0</v>
      </c>
      <c r="E221" s="11">
        <f>IF(AND(ChartTable[[#This Row],[Valor Ativo]]&lt;&gt;"", ChartTable[[#This Row],[Valor Encerrado]]=""), 1, 0)</f>
        <v>1</v>
      </c>
      <c r="F221" s="11">
        <f>IF(AND(ChartTable[[#This Row],[Novo?]]=0, ChartTable[[#This Row],[Valor Ativo]]&lt;&gt;ChartTable[[#This Row],[Valor Encerrado]]), 1, 0)</f>
        <v>0</v>
      </c>
      <c r="G221" s="18" t="str">
        <f>IF(ChartTable[[#This Row],[Mudou?]]=1, ChartTable[[#This Row],[Valor Encerrado]]-ChartTable[[#This Row],[Valor Ativo]], "")</f>
        <v/>
      </c>
      <c r="H221" s="11" t="str">
        <f>IF(ChartTable[[#This Row],[Mudou?]]=1, IF(ChartTable[[#This Row],[Diferença]]&gt;0, "aumentou", "diminuiu"), "")</f>
        <v/>
      </c>
      <c r="I221" s="11" t="str" cm="1">
        <f t="array" ref="I221">_xlfn.IFS(ChartTable[[#This Row],[Exluido?]]=1,"Excluido",ChartTable[[#This Row],[Novo?]]=1, "Novo", ChartTable[[#This Row],[Mudou?]]=1, "Mudou")</f>
        <v>Novo</v>
      </c>
    </row>
    <row r="222" spans="1:9" x14ac:dyDescent="0.25">
      <c r="A222" t="s">
        <v>231</v>
      </c>
      <c r="B222" s="10">
        <v>11994.079563754722</v>
      </c>
      <c r="C222" s="10"/>
      <c r="D222" s="11">
        <f>IF(AND(ChartTable[[#This Row],[Valor Encerrado]]=0, ChartTable[[#This Row],[Valor Ativo]]=""), 1, 0)</f>
        <v>0</v>
      </c>
      <c r="E222" s="11">
        <f>IF(AND(ChartTable[[#This Row],[Valor Ativo]]&lt;&gt;"", ChartTable[[#This Row],[Valor Encerrado]]=""), 1, 0)</f>
        <v>1</v>
      </c>
      <c r="F222" s="11">
        <f>IF(AND(ChartTable[[#This Row],[Novo?]]=0, ChartTable[[#This Row],[Valor Ativo]]&lt;&gt;ChartTable[[#This Row],[Valor Encerrado]]), 1, 0)</f>
        <v>0</v>
      </c>
      <c r="G222" s="18" t="str">
        <f>IF(ChartTable[[#This Row],[Mudou?]]=1, ChartTable[[#This Row],[Valor Encerrado]]-ChartTable[[#This Row],[Valor Ativo]], "")</f>
        <v/>
      </c>
      <c r="H222" s="11" t="str">
        <f>IF(ChartTable[[#This Row],[Mudou?]]=1, IF(ChartTable[[#This Row],[Diferença]]&gt;0, "aumentou", "diminuiu"), "")</f>
        <v/>
      </c>
      <c r="I222" s="11" t="str" cm="1">
        <f t="array" ref="I222">_xlfn.IFS(ChartTable[[#This Row],[Exluido?]]=1,"Excluido",ChartTable[[#This Row],[Novo?]]=1, "Novo", ChartTable[[#This Row],[Mudou?]]=1, "Mudou")</f>
        <v>Novo</v>
      </c>
    </row>
    <row r="223" spans="1:9" x14ac:dyDescent="0.25">
      <c r="A223" t="s">
        <v>232</v>
      </c>
      <c r="B223" s="10">
        <v>11994.079563754722</v>
      </c>
      <c r="C223" s="10"/>
      <c r="D223" s="11">
        <f>IF(AND(ChartTable[[#This Row],[Valor Encerrado]]=0, ChartTable[[#This Row],[Valor Ativo]]=""), 1, 0)</f>
        <v>0</v>
      </c>
      <c r="E223" s="11">
        <f>IF(AND(ChartTable[[#This Row],[Valor Ativo]]&lt;&gt;"", ChartTable[[#This Row],[Valor Encerrado]]=""), 1, 0)</f>
        <v>1</v>
      </c>
      <c r="F223" s="11">
        <f>IF(AND(ChartTable[[#This Row],[Novo?]]=0, ChartTable[[#This Row],[Valor Ativo]]&lt;&gt;ChartTable[[#This Row],[Valor Encerrado]]), 1, 0)</f>
        <v>0</v>
      </c>
      <c r="G223" s="18" t="str">
        <f>IF(ChartTable[[#This Row],[Mudou?]]=1, ChartTable[[#This Row],[Valor Encerrado]]-ChartTable[[#This Row],[Valor Ativo]], "")</f>
        <v/>
      </c>
      <c r="H223" s="11" t="str">
        <f>IF(ChartTable[[#This Row],[Mudou?]]=1, IF(ChartTable[[#This Row],[Diferença]]&gt;0, "aumentou", "diminuiu"), "")</f>
        <v/>
      </c>
      <c r="I223" s="11" t="str" cm="1">
        <f t="array" ref="I223">_xlfn.IFS(ChartTable[[#This Row],[Exluido?]]=1,"Excluido",ChartTable[[#This Row],[Novo?]]=1, "Novo", ChartTable[[#This Row],[Mudou?]]=1, "Mudou")</f>
        <v>Novo</v>
      </c>
    </row>
    <row r="224" spans="1:9" x14ac:dyDescent="0.25">
      <c r="A224" t="s">
        <v>233</v>
      </c>
      <c r="B224" s="10">
        <v>11994.079563754722</v>
      </c>
      <c r="C224" s="10"/>
      <c r="D224" s="11">
        <f>IF(AND(ChartTable[[#This Row],[Valor Encerrado]]=0, ChartTable[[#This Row],[Valor Ativo]]=""), 1, 0)</f>
        <v>0</v>
      </c>
      <c r="E224" s="11">
        <f>IF(AND(ChartTable[[#This Row],[Valor Ativo]]&lt;&gt;"", ChartTable[[#This Row],[Valor Encerrado]]=""), 1, 0)</f>
        <v>1</v>
      </c>
      <c r="F224" s="11">
        <f>IF(AND(ChartTable[[#This Row],[Novo?]]=0, ChartTable[[#This Row],[Valor Ativo]]&lt;&gt;ChartTable[[#This Row],[Valor Encerrado]]), 1, 0)</f>
        <v>0</v>
      </c>
      <c r="G224" s="18" t="str">
        <f>IF(ChartTable[[#This Row],[Mudou?]]=1, ChartTable[[#This Row],[Valor Encerrado]]-ChartTable[[#This Row],[Valor Ativo]], "")</f>
        <v/>
      </c>
      <c r="H224" s="11" t="str">
        <f>IF(ChartTable[[#This Row],[Mudou?]]=1, IF(ChartTable[[#This Row],[Diferença]]&gt;0, "aumentou", "diminuiu"), "")</f>
        <v/>
      </c>
      <c r="I224" s="11" t="str" cm="1">
        <f t="array" ref="I224">_xlfn.IFS(ChartTable[[#This Row],[Exluido?]]=1,"Excluido",ChartTable[[#This Row],[Novo?]]=1, "Novo", ChartTable[[#This Row],[Mudou?]]=1, "Mudou")</f>
        <v>Novo</v>
      </c>
    </row>
    <row r="225" spans="1:9" x14ac:dyDescent="0.25">
      <c r="A225" t="s">
        <v>234</v>
      </c>
      <c r="B225" s="10">
        <v>11994.079563754722</v>
      </c>
      <c r="C225" s="10"/>
      <c r="D225" s="11">
        <f>IF(AND(ChartTable[[#This Row],[Valor Encerrado]]=0, ChartTable[[#This Row],[Valor Ativo]]=""), 1, 0)</f>
        <v>0</v>
      </c>
      <c r="E225" s="11">
        <f>IF(AND(ChartTable[[#This Row],[Valor Ativo]]&lt;&gt;"", ChartTable[[#This Row],[Valor Encerrado]]=""), 1, 0)</f>
        <v>1</v>
      </c>
      <c r="F225" s="11">
        <f>IF(AND(ChartTable[[#This Row],[Novo?]]=0, ChartTable[[#This Row],[Valor Ativo]]&lt;&gt;ChartTable[[#This Row],[Valor Encerrado]]), 1, 0)</f>
        <v>0</v>
      </c>
      <c r="G225" s="18" t="str">
        <f>IF(ChartTable[[#This Row],[Mudou?]]=1, ChartTable[[#This Row],[Valor Encerrado]]-ChartTable[[#This Row],[Valor Ativo]], "")</f>
        <v/>
      </c>
      <c r="H225" s="11" t="str">
        <f>IF(ChartTable[[#This Row],[Mudou?]]=1, IF(ChartTable[[#This Row],[Diferença]]&gt;0, "aumentou", "diminuiu"), "")</f>
        <v/>
      </c>
      <c r="I225" s="11" t="str" cm="1">
        <f t="array" ref="I225">_xlfn.IFS(ChartTable[[#This Row],[Exluido?]]=1,"Excluido",ChartTable[[#This Row],[Novo?]]=1, "Novo", ChartTable[[#This Row],[Mudou?]]=1, "Mudou")</f>
        <v>Novo</v>
      </c>
    </row>
    <row r="226" spans="1:9" x14ac:dyDescent="0.25">
      <c r="A226" t="s">
        <v>235</v>
      </c>
      <c r="B226" s="10">
        <v>11994.079563754722</v>
      </c>
      <c r="C226" s="10"/>
      <c r="D226" s="11">
        <f>IF(AND(ChartTable[[#This Row],[Valor Encerrado]]=0, ChartTable[[#This Row],[Valor Ativo]]=""), 1, 0)</f>
        <v>0</v>
      </c>
      <c r="E226" s="11">
        <f>IF(AND(ChartTable[[#This Row],[Valor Ativo]]&lt;&gt;"", ChartTable[[#This Row],[Valor Encerrado]]=""), 1, 0)</f>
        <v>1</v>
      </c>
      <c r="F226" s="11">
        <f>IF(AND(ChartTable[[#This Row],[Novo?]]=0, ChartTable[[#This Row],[Valor Ativo]]&lt;&gt;ChartTable[[#This Row],[Valor Encerrado]]), 1, 0)</f>
        <v>0</v>
      </c>
      <c r="G226" s="18" t="str">
        <f>IF(ChartTable[[#This Row],[Mudou?]]=1, ChartTable[[#This Row],[Valor Encerrado]]-ChartTable[[#This Row],[Valor Ativo]], "")</f>
        <v/>
      </c>
      <c r="H226" s="11" t="str">
        <f>IF(ChartTable[[#This Row],[Mudou?]]=1, IF(ChartTable[[#This Row],[Diferença]]&gt;0, "aumentou", "diminuiu"), "")</f>
        <v/>
      </c>
      <c r="I226" s="11" t="str" cm="1">
        <f t="array" ref="I226">_xlfn.IFS(ChartTable[[#This Row],[Exluido?]]=1,"Excluido",ChartTable[[#This Row],[Novo?]]=1, "Novo", ChartTable[[#This Row],[Mudou?]]=1, "Mudou")</f>
        <v>Novo</v>
      </c>
    </row>
    <row r="227" spans="1:9" x14ac:dyDescent="0.25">
      <c r="A227" t="s">
        <v>236</v>
      </c>
      <c r="B227" s="10">
        <v>11994.079563754722</v>
      </c>
      <c r="C227" s="10"/>
      <c r="D227" s="11">
        <f>IF(AND(ChartTable[[#This Row],[Valor Encerrado]]=0, ChartTable[[#This Row],[Valor Ativo]]=""), 1, 0)</f>
        <v>0</v>
      </c>
      <c r="E227" s="11">
        <f>IF(AND(ChartTable[[#This Row],[Valor Ativo]]&lt;&gt;"", ChartTable[[#This Row],[Valor Encerrado]]=""), 1, 0)</f>
        <v>1</v>
      </c>
      <c r="F227" s="11">
        <f>IF(AND(ChartTable[[#This Row],[Novo?]]=0, ChartTable[[#This Row],[Valor Ativo]]&lt;&gt;ChartTable[[#This Row],[Valor Encerrado]]), 1, 0)</f>
        <v>0</v>
      </c>
      <c r="G227" s="18" t="str">
        <f>IF(ChartTable[[#This Row],[Mudou?]]=1, ChartTable[[#This Row],[Valor Encerrado]]-ChartTable[[#This Row],[Valor Ativo]], "")</f>
        <v/>
      </c>
      <c r="H227" s="11" t="str">
        <f>IF(ChartTable[[#This Row],[Mudou?]]=1, IF(ChartTable[[#This Row],[Diferença]]&gt;0, "aumentou", "diminuiu"), "")</f>
        <v/>
      </c>
      <c r="I227" s="11" t="str" cm="1">
        <f t="array" ref="I227">_xlfn.IFS(ChartTable[[#This Row],[Exluido?]]=1,"Excluido",ChartTable[[#This Row],[Novo?]]=1, "Novo", ChartTable[[#This Row],[Mudou?]]=1, "Mudou")</f>
        <v>Novo</v>
      </c>
    </row>
    <row r="228" spans="1:9" x14ac:dyDescent="0.25">
      <c r="A228" t="s">
        <v>237</v>
      </c>
      <c r="B228" s="10">
        <v>11994.079563754722</v>
      </c>
      <c r="C228" s="10"/>
      <c r="D228" s="11">
        <f>IF(AND(ChartTable[[#This Row],[Valor Encerrado]]=0, ChartTable[[#This Row],[Valor Ativo]]=""), 1, 0)</f>
        <v>0</v>
      </c>
      <c r="E228" s="11">
        <f>IF(AND(ChartTable[[#This Row],[Valor Ativo]]&lt;&gt;"", ChartTable[[#This Row],[Valor Encerrado]]=""), 1, 0)</f>
        <v>1</v>
      </c>
      <c r="F228" s="11">
        <f>IF(AND(ChartTable[[#This Row],[Novo?]]=0, ChartTable[[#This Row],[Valor Ativo]]&lt;&gt;ChartTable[[#This Row],[Valor Encerrado]]), 1, 0)</f>
        <v>0</v>
      </c>
      <c r="G228" s="18" t="str">
        <f>IF(ChartTable[[#This Row],[Mudou?]]=1, ChartTable[[#This Row],[Valor Encerrado]]-ChartTable[[#This Row],[Valor Ativo]], "")</f>
        <v/>
      </c>
      <c r="H228" s="11" t="str">
        <f>IF(ChartTable[[#This Row],[Mudou?]]=1, IF(ChartTable[[#This Row],[Diferença]]&gt;0, "aumentou", "diminuiu"), "")</f>
        <v/>
      </c>
      <c r="I228" s="11" t="str" cm="1">
        <f t="array" ref="I228">_xlfn.IFS(ChartTable[[#This Row],[Exluido?]]=1,"Excluido",ChartTable[[#This Row],[Novo?]]=1, "Novo", ChartTable[[#This Row],[Mudou?]]=1, "Mudou")</f>
        <v>Novo</v>
      </c>
    </row>
    <row r="229" spans="1:9" x14ac:dyDescent="0.25">
      <c r="A229" t="s">
        <v>238</v>
      </c>
      <c r="B229" s="10">
        <v>11994.079563754722</v>
      </c>
      <c r="C229" s="10"/>
      <c r="D229" s="11">
        <f>IF(AND(ChartTable[[#This Row],[Valor Encerrado]]=0, ChartTable[[#This Row],[Valor Ativo]]=""), 1, 0)</f>
        <v>0</v>
      </c>
      <c r="E229" s="11">
        <f>IF(AND(ChartTable[[#This Row],[Valor Ativo]]&lt;&gt;"", ChartTable[[#This Row],[Valor Encerrado]]=""), 1, 0)</f>
        <v>1</v>
      </c>
      <c r="F229" s="11">
        <f>IF(AND(ChartTable[[#This Row],[Novo?]]=0, ChartTable[[#This Row],[Valor Ativo]]&lt;&gt;ChartTable[[#This Row],[Valor Encerrado]]), 1, 0)</f>
        <v>0</v>
      </c>
      <c r="G229" s="18" t="str">
        <f>IF(ChartTable[[#This Row],[Mudou?]]=1, ChartTable[[#This Row],[Valor Encerrado]]-ChartTable[[#This Row],[Valor Ativo]], "")</f>
        <v/>
      </c>
      <c r="H229" s="11" t="str">
        <f>IF(ChartTable[[#This Row],[Mudou?]]=1, IF(ChartTable[[#This Row],[Diferença]]&gt;0, "aumentou", "diminuiu"), "")</f>
        <v/>
      </c>
      <c r="I229" s="11" t="str" cm="1">
        <f t="array" ref="I229">_xlfn.IFS(ChartTable[[#This Row],[Exluido?]]=1,"Excluido",ChartTable[[#This Row],[Novo?]]=1, "Novo", ChartTable[[#This Row],[Mudou?]]=1, "Mudou")</f>
        <v>Novo</v>
      </c>
    </row>
    <row r="230" spans="1:9" x14ac:dyDescent="0.25">
      <c r="A230" t="s">
        <v>239</v>
      </c>
      <c r="B230" s="10">
        <v>11994.079563754722</v>
      </c>
      <c r="C230" s="10"/>
      <c r="D230" s="11">
        <f>IF(AND(ChartTable[[#This Row],[Valor Encerrado]]=0, ChartTable[[#This Row],[Valor Ativo]]=""), 1, 0)</f>
        <v>0</v>
      </c>
      <c r="E230" s="11">
        <f>IF(AND(ChartTable[[#This Row],[Valor Ativo]]&lt;&gt;"", ChartTable[[#This Row],[Valor Encerrado]]=""), 1, 0)</f>
        <v>1</v>
      </c>
      <c r="F230" s="11">
        <f>IF(AND(ChartTable[[#This Row],[Novo?]]=0, ChartTable[[#This Row],[Valor Ativo]]&lt;&gt;ChartTable[[#This Row],[Valor Encerrado]]), 1, 0)</f>
        <v>0</v>
      </c>
      <c r="G230" s="18" t="str">
        <f>IF(ChartTable[[#This Row],[Mudou?]]=1, ChartTable[[#This Row],[Valor Encerrado]]-ChartTable[[#This Row],[Valor Ativo]], "")</f>
        <v/>
      </c>
      <c r="H230" s="11" t="str">
        <f>IF(ChartTable[[#This Row],[Mudou?]]=1, IF(ChartTable[[#This Row],[Diferença]]&gt;0, "aumentou", "diminuiu"), "")</f>
        <v/>
      </c>
      <c r="I230" s="11" t="str" cm="1">
        <f t="array" ref="I230">_xlfn.IFS(ChartTable[[#This Row],[Exluido?]]=1,"Excluido",ChartTable[[#This Row],[Novo?]]=1, "Novo", ChartTable[[#This Row],[Mudou?]]=1, "Mudou")</f>
        <v>Novo</v>
      </c>
    </row>
    <row r="231" spans="1:9" x14ac:dyDescent="0.25">
      <c r="A231" t="s">
        <v>240</v>
      </c>
      <c r="B231" s="10">
        <v>11994.079563754722</v>
      </c>
      <c r="C231" s="10"/>
      <c r="D231" s="11">
        <f>IF(AND(ChartTable[[#This Row],[Valor Encerrado]]=0, ChartTable[[#This Row],[Valor Ativo]]=""), 1, 0)</f>
        <v>0</v>
      </c>
      <c r="E231" s="11">
        <f>IF(AND(ChartTable[[#This Row],[Valor Ativo]]&lt;&gt;"", ChartTable[[#This Row],[Valor Encerrado]]=""), 1, 0)</f>
        <v>1</v>
      </c>
      <c r="F231" s="11">
        <f>IF(AND(ChartTable[[#This Row],[Novo?]]=0, ChartTable[[#This Row],[Valor Ativo]]&lt;&gt;ChartTable[[#This Row],[Valor Encerrado]]), 1, 0)</f>
        <v>0</v>
      </c>
      <c r="G231" s="18" t="str">
        <f>IF(ChartTable[[#This Row],[Mudou?]]=1, ChartTable[[#This Row],[Valor Encerrado]]-ChartTable[[#This Row],[Valor Ativo]], "")</f>
        <v/>
      </c>
      <c r="H231" s="11" t="str">
        <f>IF(ChartTable[[#This Row],[Mudou?]]=1, IF(ChartTable[[#This Row],[Diferença]]&gt;0, "aumentou", "diminuiu"), "")</f>
        <v/>
      </c>
      <c r="I231" s="11" t="str" cm="1">
        <f t="array" ref="I231">_xlfn.IFS(ChartTable[[#This Row],[Exluido?]]=1,"Excluido",ChartTable[[#This Row],[Novo?]]=1, "Novo", ChartTable[[#This Row],[Mudou?]]=1, "Mudou")</f>
        <v>Novo</v>
      </c>
    </row>
    <row r="232" spans="1:9" x14ac:dyDescent="0.25">
      <c r="A232" t="s">
        <v>241</v>
      </c>
      <c r="B232" s="10">
        <v>11994.079563754722</v>
      </c>
      <c r="C232" s="10"/>
      <c r="D232" s="11">
        <f>IF(AND(ChartTable[[#This Row],[Valor Encerrado]]=0, ChartTable[[#This Row],[Valor Ativo]]=""), 1, 0)</f>
        <v>0</v>
      </c>
      <c r="E232" s="11">
        <f>IF(AND(ChartTable[[#This Row],[Valor Ativo]]&lt;&gt;"", ChartTable[[#This Row],[Valor Encerrado]]=""), 1, 0)</f>
        <v>1</v>
      </c>
      <c r="F232" s="11">
        <f>IF(AND(ChartTable[[#This Row],[Novo?]]=0, ChartTable[[#This Row],[Valor Ativo]]&lt;&gt;ChartTable[[#This Row],[Valor Encerrado]]), 1, 0)</f>
        <v>0</v>
      </c>
      <c r="G232" s="18" t="str">
        <f>IF(ChartTable[[#This Row],[Mudou?]]=1, ChartTable[[#This Row],[Valor Encerrado]]-ChartTable[[#This Row],[Valor Ativo]], "")</f>
        <v/>
      </c>
      <c r="H232" s="11" t="str">
        <f>IF(ChartTable[[#This Row],[Mudou?]]=1, IF(ChartTable[[#This Row],[Diferença]]&gt;0, "aumentou", "diminuiu"), "")</f>
        <v/>
      </c>
      <c r="I232" s="11" t="str" cm="1">
        <f t="array" ref="I232">_xlfn.IFS(ChartTable[[#This Row],[Exluido?]]=1,"Excluido",ChartTable[[#This Row],[Novo?]]=1, "Novo", ChartTable[[#This Row],[Mudou?]]=1, "Mudou")</f>
        <v>Novo</v>
      </c>
    </row>
    <row r="233" spans="1:9" x14ac:dyDescent="0.25">
      <c r="A233" t="s">
        <v>242</v>
      </c>
      <c r="B233" s="10">
        <v>11994.079563754722</v>
      </c>
      <c r="C233" s="10"/>
      <c r="D233" s="11">
        <f>IF(AND(ChartTable[[#This Row],[Valor Encerrado]]=0, ChartTable[[#This Row],[Valor Ativo]]=""), 1, 0)</f>
        <v>0</v>
      </c>
      <c r="E233" s="11">
        <f>IF(AND(ChartTable[[#This Row],[Valor Ativo]]&lt;&gt;"", ChartTable[[#This Row],[Valor Encerrado]]=""), 1, 0)</f>
        <v>1</v>
      </c>
      <c r="F233" s="11">
        <f>IF(AND(ChartTable[[#This Row],[Novo?]]=0, ChartTable[[#This Row],[Valor Ativo]]&lt;&gt;ChartTable[[#This Row],[Valor Encerrado]]), 1, 0)</f>
        <v>0</v>
      </c>
      <c r="G233" s="18" t="str">
        <f>IF(ChartTable[[#This Row],[Mudou?]]=1, ChartTable[[#This Row],[Valor Encerrado]]-ChartTable[[#This Row],[Valor Ativo]], "")</f>
        <v/>
      </c>
      <c r="H233" s="11" t="str">
        <f>IF(ChartTable[[#This Row],[Mudou?]]=1, IF(ChartTable[[#This Row],[Diferença]]&gt;0, "aumentou", "diminuiu"), "")</f>
        <v/>
      </c>
      <c r="I233" s="11" t="str" cm="1">
        <f t="array" ref="I233">_xlfn.IFS(ChartTable[[#This Row],[Exluido?]]=1,"Excluido",ChartTable[[#This Row],[Novo?]]=1, "Novo", ChartTable[[#This Row],[Mudou?]]=1, "Mudou")</f>
        <v>Novo</v>
      </c>
    </row>
    <row r="234" spans="1:9" x14ac:dyDescent="0.25">
      <c r="A234" t="s">
        <v>243</v>
      </c>
      <c r="B234" s="10">
        <v>11994.079563754722</v>
      </c>
      <c r="C234" s="10"/>
      <c r="D234" s="11">
        <f>IF(AND(ChartTable[[#This Row],[Valor Encerrado]]=0, ChartTable[[#This Row],[Valor Ativo]]=""), 1, 0)</f>
        <v>0</v>
      </c>
      <c r="E234" s="11">
        <f>IF(AND(ChartTable[[#This Row],[Valor Ativo]]&lt;&gt;"", ChartTable[[#This Row],[Valor Encerrado]]=""), 1, 0)</f>
        <v>1</v>
      </c>
      <c r="F234" s="11">
        <f>IF(AND(ChartTable[[#This Row],[Novo?]]=0, ChartTable[[#This Row],[Valor Ativo]]&lt;&gt;ChartTable[[#This Row],[Valor Encerrado]]), 1, 0)</f>
        <v>0</v>
      </c>
      <c r="G234" s="18" t="str">
        <f>IF(ChartTable[[#This Row],[Mudou?]]=1, ChartTable[[#This Row],[Valor Encerrado]]-ChartTable[[#This Row],[Valor Ativo]], "")</f>
        <v/>
      </c>
      <c r="H234" s="11" t="str">
        <f>IF(ChartTable[[#This Row],[Mudou?]]=1, IF(ChartTable[[#This Row],[Diferença]]&gt;0, "aumentou", "diminuiu"), "")</f>
        <v/>
      </c>
      <c r="I234" s="11" t="str" cm="1">
        <f t="array" ref="I234">_xlfn.IFS(ChartTable[[#This Row],[Exluido?]]=1,"Excluido",ChartTable[[#This Row],[Novo?]]=1, "Novo", ChartTable[[#This Row],[Mudou?]]=1, "Mudou")</f>
        <v>Novo</v>
      </c>
    </row>
    <row r="235" spans="1:9" x14ac:dyDescent="0.25">
      <c r="A235" t="s">
        <v>244</v>
      </c>
      <c r="B235" s="10">
        <v>11994.079563754722</v>
      </c>
      <c r="C235" s="10"/>
      <c r="D235" s="11">
        <f>IF(AND(ChartTable[[#This Row],[Valor Encerrado]]=0, ChartTable[[#This Row],[Valor Ativo]]=""), 1, 0)</f>
        <v>0</v>
      </c>
      <c r="E235" s="11">
        <f>IF(AND(ChartTable[[#This Row],[Valor Ativo]]&lt;&gt;"", ChartTable[[#This Row],[Valor Encerrado]]=""), 1, 0)</f>
        <v>1</v>
      </c>
      <c r="F235" s="11">
        <f>IF(AND(ChartTable[[#This Row],[Novo?]]=0, ChartTable[[#This Row],[Valor Ativo]]&lt;&gt;ChartTable[[#This Row],[Valor Encerrado]]), 1, 0)</f>
        <v>0</v>
      </c>
      <c r="G235" s="18" t="str">
        <f>IF(ChartTable[[#This Row],[Mudou?]]=1, ChartTable[[#This Row],[Valor Encerrado]]-ChartTable[[#This Row],[Valor Ativo]], "")</f>
        <v/>
      </c>
      <c r="H235" s="11" t="str">
        <f>IF(ChartTable[[#This Row],[Mudou?]]=1, IF(ChartTable[[#This Row],[Diferença]]&gt;0, "aumentou", "diminuiu"), "")</f>
        <v/>
      </c>
      <c r="I235" s="11" t="str" cm="1">
        <f t="array" ref="I235">_xlfn.IFS(ChartTable[[#This Row],[Exluido?]]=1,"Excluido",ChartTable[[#This Row],[Novo?]]=1, "Novo", ChartTable[[#This Row],[Mudou?]]=1, "Mudou")</f>
        <v>Novo</v>
      </c>
    </row>
    <row r="236" spans="1:9" x14ac:dyDescent="0.25">
      <c r="A236" t="s">
        <v>245</v>
      </c>
      <c r="B236" s="10">
        <v>11994.079563754722</v>
      </c>
      <c r="C236" s="10"/>
      <c r="D236" s="11">
        <f>IF(AND(ChartTable[[#This Row],[Valor Encerrado]]=0, ChartTable[[#This Row],[Valor Ativo]]=""), 1, 0)</f>
        <v>0</v>
      </c>
      <c r="E236" s="11">
        <f>IF(AND(ChartTable[[#This Row],[Valor Ativo]]&lt;&gt;"", ChartTable[[#This Row],[Valor Encerrado]]=""), 1, 0)</f>
        <v>1</v>
      </c>
      <c r="F236" s="11">
        <f>IF(AND(ChartTable[[#This Row],[Novo?]]=0, ChartTable[[#This Row],[Valor Ativo]]&lt;&gt;ChartTable[[#This Row],[Valor Encerrado]]), 1, 0)</f>
        <v>0</v>
      </c>
      <c r="G236" s="18" t="str">
        <f>IF(ChartTable[[#This Row],[Mudou?]]=1, ChartTable[[#This Row],[Valor Encerrado]]-ChartTable[[#This Row],[Valor Ativo]], "")</f>
        <v/>
      </c>
      <c r="H236" s="11" t="str">
        <f>IF(ChartTable[[#This Row],[Mudou?]]=1, IF(ChartTable[[#This Row],[Diferença]]&gt;0, "aumentou", "diminuiu"), "")</f>
        <v/>
      </c>
      <c r="I236" s="11" t="str" cm="1">
        <f t="array" ref="I236">_xlfn.IFS(ChartTable[[#This Row],[Exluido?]]=1,"Excluido",ChartTable[[#This Row],[Novo?]]=1, "Novo", ChartTable[[#This Row],[Mudou?]]=1, "Mudou")</f>
        <v>Novo</v>
      </c>
    </row>
    <row r="237" spans="1:9" x14ac:dyDescent="0.25">
      <c r="A237" t="s">
        <v>246</v>
      </c>
      <c r="B237" s="10">
        <v>11994.079563754722</v>
      </c>
      <c r="C237" s="10"/>
      <c r="D237" s="11">
        <f>IF(AND(ChartTable[[#This Row],[Valor Encerrado]]=0, ChartTable[[#This Row],[Valor Ativo]]=""), 1, 0)</f>
        <v>0</v>
      </c>
      <c r="E237" s="11">
        <f>IF(AND(ChartTable[[#This Row],[Valor Ativo]]&lt;&gt;"", ChartTable[[#This Row],[Valor Encerrado]]=""), 1, 0)</f>
        <v>1</v>
      </c>
      <c r="F237" s="11">
        <f>IF(AND(ChartTable[[#This Row],[Novo?]]=0, ChartTable[[#This Row],[Valor Ativo]]&lt;&gt;ChartTable[[#This Row],[Valor Encerrado]]), 1, 0)</f>
        <v>0</v>
      </c>
      <c r="G237" s="18" t="str">
        <f>IF(ChartTable[[#This Row],[Mudou?]]=1, ChartTable[[#This Row],[Valor Encerrado]]-ChartTable[[#This Row],[Valor Ativo]], "")</f>
        <v/>
      </c>
      <c r="H237" s="11" t="str">
        <f>IF(ChartTable[[#This Row],[Mudou?]]=1, IF(ChartTable[[#This Row],[Diferença]]&gt;0, "aumentou", "diminuiu"), "")</f>
        <v/>
      </c>
      <c r="I237" s="11" t="str" cm="1">
        <f t="array" ref="I237">_xlfn.IFS(ChartTable[[#This Row],[Exluido?]]=1,"Excluido",ChartTable[[#This Row],[Novo?]]=1, "Novo", ChartTable[[#This Row],[Mudou?]]=1, "Mudou")</f>
        <v>Novo</v>
      </c>
    </row>
    <row r="238" spans="1:9" x14ac:dyDescent="0.25">
      <c r="A238" t="s">
        <v>247</v>
      </c>
      <c r="B238" s="10">
        <v>11994.079563754722</v>
      </c>
      <c r="C238" s="10"/>
      <c r="D238" s="11">
        <f>IF(AND(ChartTable[[#This Row],[Valor Encerrado]]=0, ChartTable[[#This Row],[Valor Ativo]]=""), 1, 0)</f>
        <v>0</v>
      </c>
      <c r="E238" s="11">
        <f>IF(AND(ChartTable[[#This Row],[Valor Ativo]]&lt;&gt;"", ChartTable[[#This Row],[Valor Encerrado]]=""), 1, 0)</f>
        <v>1</v>
      </c>
      <c r="F238" s="11">
        <f>IF(AND(ChartTable[[#This Row],[Novo?]]=0, ChartTable[[#This Row],[Valor Ativo]]&lt;&gt;ChartTable[[#This Row],[Valor Encerrado]]), 1, 0)</f>
        <v>0</v>
      </c>
      <c r="G238" s="18" t="str">
        <f>IF(ChartTable[[#This Row],[Mudou?]]=1, ChartTable[[#This Row],[Valor Encerrado]]-ChartTable[[#This Row],[Valor Ativo]], "")</f>
        <v/>
      </c>
      <c r="H238" s="11" t="str">
        <f>IF(ChartTable[[#This Row],[Mudou?]]=1, IF(ChartTable[[#This Row],[Diferença]]&gt;0, "aumentou", "diminuiu"), "")</f>
        <v/>
      </c>
      <c r="I238" s="11" t="str" cm="1">
        <f t="array" ref="I238">_xlfn.IFS(ChartTable[[#This Row],[Exluido?]]=1,"Excluido",ChartTable[[#This Row],[Novo?]]=1, "Novo", ChartTable[[#This Row],[Mudou?]]=1, "Mudou")</f>
        <v>Novo</v>
      </c>
    </row>
    <row r="239" spans="1:9" x14ac:dyDescent="0.25">
      <c r="A239" t="s">
        <v>248</v>
      </c>
      <c r="B239" s="10">
        <v>11994.079563754722</v>
      </c>
      <c r="C239" s="10"/>
      <c r="D239" s="11">
        <f>IF(AND(ChartTable[[#This Row],[Valor Encerrado]]=0, ChartTable[[#This Row],[Valor Ativo]]=""), 1, 0)</f>
        <v>0</v>
      </c>
      <c r="E239" s="11">
        <f>IF(AND(ChartTable[[#This Row],[Valor Ativo]]&lt;&gt;"", ChartTable[[#This Row],[Valor Encerrado]]=""), 1, 0)</f>
        <v>1</v>
      </c>
      <c r="F239" s="11">
        <f>IF(AND(ChartTable[[#This Row],[Novo?]]=0, ChartTable[[#This Row],[Valor Ativo]]&lt;&gt;ChartTable[[#This Row],[Valor Encerrado]]), 1, 0)</f>
        <v>0</v>
      </c>
      <c r="G239" s="18" t="str">
        <f>IF(ChartTable[[#This Row],[Mudou?]]=1, ChartTable[[#This Row],[Valor Encerrado]]-ChartTable[[#This Row],[Valor Ativo]], "")</f>
        <v/>
      </c>
      <c r="H239" s="11" t="str">
        <f>IF(ChartTable[[#This Row],[Mudou?]]=1, IF(ChartTable[[#This Row],[Diferença]]&gt;0, "aumentou", "diminuiu"), "")</f>
        <v/>
      </c>
      <c r="I239" s="11" t="str" cm="1">
        <f t="array" ref="I239">_xlfn.IFS(ChartTable[[#This Row],[Exluido?]]=1,"Excluido",ChartTable[[#This Row],[Novo?]]=1, "Novo", ChartTable[[#This Row],[Mudou?]]=1, "Mudou")</f>
        <v>Novo</v>
      </c>
    </row>
    <row r="240" spans="1:9" x14ac:dyDescent="0.25">
      <c r="A240" t="s">
        <v>249</v>
      </c>
      <c r="B240" s="10">
        <v>11994.079563754722</v>
      </c>
      <c r="C240" s="10"/>
      <c r="D240" s="11">
        <f>IF(AND(ChartTable[[#This Row],[Valor Encerrado]]=0, ChartTable[[#This Row],[Valor Ativo]]=""), 1, 0)</f>
        <v>0</v>
      </c>
      <c r="E240" s="11">
        <f>IF(AND(ChartTable[[#This Row],[Valor Ativo]]&lt;&gt;"", ChartTable[[#This Row],[Valor Encerrado]]=""), 1, 0)</f>
        <v>1</v>
      </c>
      <c r="F240" s="11">
        <f>IF(AND(ChartTable[[#This Row],[Novo?]]=0, ChartTable[[#This Row],[Valor Ativo]]&lt;&gt;ChartTable[[#This Row],[Valor Encerrado]]), 1, 0)</f>
        <v>0</v>
      </c>
      <c r="G240" s="18" t="str">
        <f>IF(ChartTable[[#This Row],[Mudou?]]=1, ChartTable[[#This Row],[Valor Encerrado]]-ChartTable[[#This Row],[Valor Ativo]], "")</f>
        <v/>
      </c>
      <c r="H240" s="11" t="str">
        <f>IF(ChartTable[[#This Row],[Mudou?]]=1, IF(ChartTable[[#This Row],[Diferença]]&gt;0, "aumentou", "diminuiu"), "")</f>
        <v/>
      </c>
      <c r="I240" s="11" t="str" cm="1">
        <f t="array" ref="I240">_xlfn.IFS(ChartTable[[#This Row],[Exluido?]]=1,"Excluido",ChartTable[[#This Row],[Novo?]]=1, "Novo", ChartTable[[#This Row],[Mudou?]]=1, "Mudou")</f>
        <v>Novo</v>
      </c>
    </row>
    <row r="241" spans="1:9" x14ac:dyDescent="0.25">
      <c r="A241" t="s">
        <v>250</v>
      </c>
      <c r="B241" s="10">
        <v>11994.079563754722</v>
      </c>
      <c r="C241" s="10"/>
      <c r="D241" s="11">
        <f>IF(AND(ChartTable[[#This Row],[Valor Encerrado]]=0, ChartTable[[#This Row],[Valor Ativo]]=""), 1, 0)</f>
        <v>0</v>
      </c>
      <c r="E241" s="11">
        <f>IF(AND(ChartTable[[#This Row],[Valor Ativo]]&lt;&gt;"", ChartTable[[#This Row],[Valor Encerrado]]=""), 1, 0)</f>
        <v>1</v>
      </c>
      <c r="F241" s="11">
        <f>IF(AND(ChartTable[[#This Row],[Novo?]]=0, ChartTable[[#This Row],[Valor Ativo]]&lt;&gt;ChartTable[[#This Row],[Valor Encerrado]]), 1, 0)</f>
        <v>0</v>
      </c>
      <c r="G241" s="18" t="str">
        <f>IF(ChartTable[[#This Row],[Mudou?]]=1, ChartTable[[#This Row],[Valor Encerrado]]-ChartTable[[#This Row],[Valor Ativo]], "")</f>
        <v/>
      </c>
      <c r="H241" s="11" t="str">
        <f>IF(ChartTable[[#This Row],[Mudou?]]=1, IF(ChartTable[[#This Row],[Diferença]]&gt;0, "aumentou", "diminuiu"), "")</f>
        <v/>
      </c>
      <c r="I241" s="11" t="str" cm="1">
        <f t="array" ref="I241">_xlfn.IFS(ChartTable[[#This Row],[Exluido?]]=1,"Excluido",ChartTable[[#This Row],[Novo?]]=1, "Novo", ChartTable[[#This Row],[Mudou?]]=1, "Mudou")</f>
        <v>Novo</v>
      </c>
    </row>
    <row r="242" spans="1:9" x14ac:dyDescent="0.25">
      <c r="A242" t="s">
        <v>251</v>
      </c>
      <c r="B242" s="10">
        <v>11994.079563754722</v>
      </c>
      <c r="C242" s="10"/>
      <c r="D242" s="11">
        <f>IF(AND(ChartTable[[#This Row],[Valor Encerrado]]=0, ChartTable[[#This Row],[Valor Ativo]]=""), 1, 0)</f>
        <v>0</v>
      </c>
      <c r="E242" s="11">
        <f>IF(AND(ChartTable[[#This Row],[Valor Ativo]]&lt;&gt;"", ChartTable[[#This Row],[Valor Encerrado]]=""), 1, 0)</f>
        <v>1</v>
      </c>
      <c r="F242" s="11">
        <f>IF(AND(ChartTable[[#This Row],[Novo?]]=0, ChartTable[[#This Row],[Valor Ativo]]&lt;&gt;ChartTable[[#This Row],[Valor Encerrado]]), 1, 0)</f>
        <v>0</v>
      </c>
      <c r="G242" s="18" t="str">
        <f>IF(ChartTable[[#This Row],[Mudou?]]=1, ChartTable[[#This Row],[Valor Encerrado]]-ChartTable[[#This Row],[Valor Ativo]], "")</f>
        <v/>
      </c>
      <c r="H242" s="11" t="str">
        <f>IF(ChartTable[[#This Row],[Mudou?]]=1, IF(ChartTable[[#This Row],[Diferença]]&gt;0, "aumentou", "diminuiu"), "")</f>
        <v/>
      </c>
      <c r="I242" s="11" t="str" cm="1">
        <f t="array" ref="I242">_xlfn.IFS(ChartTable[[#This Row],[Exluido?]]=1,"Excluido",ChartTable[[#This Row],[Novo?]]=1, "Novo", ChartTable[[#This Row],[Mudou?]]=1, "Mudou")</f>
        <v>Novo</v>
      </c>
    </row>
    <row r="243" spans="1:9" x14ac:dyDescent="0.25">
      <c r="A243" t="s">
        <v>252</v>
      </c>
      <c r="B243" s="10">
        <v>11994.079563754722</v>
      </c>
      <c r="C243" s="10"/>
      <c r="D243" s="11">
        <f>IF(AND(ChartTable[[#This Row],[Valor Encerrado]]=0, ChartTable[[#This Row],[Valor Ativo]]=""), 1, 0)</f>
        <v>0</v>
      </c>
      <c r="E243" s="11">
        <f>IF(AND(ChartTable[[#This Row],[Valor Ativo]]&lt;&gt;"", ChartTable[[#This Row],[Valor Encerrado]]=""), 1, 0)</f>
        <v>1</v>
      </c>
      <c r="F243" s="11">
        <f>IF(AND(ChartTable[[#This Row],[Novo?]]=0, ChartTable[[#This Row],[Valor Ativo]]&lt;&gt;ChartTable[[#This Row],[Valor Encerrado]]), 1, 0)</f>
        <v>0</v>
      </c>
      <c r="G243" s="18" t="str">
        <f>IF(ChartTable[[#This Row],[Mudou?]]=1, ChartTable[[#This Row],[Valor Encerrado]]-ChartTable[[#This Row],[Valor Ativo]], "")</f>
        <v/>
      </c>
      <c r="H243" s="11" t="str">
        <f>IF(ChartTable[[#This Row],[Mudou?]]=1, IF(ChartTable[[#This Row],[Diferença]]&gt;0, "aumentou", "diminuiu"), "")</f>
        <v/>
      </c>
      <c r="I243" s="11" t="str" cm="1">
        <f t="array" ref="I243">_xlfn.IFS(ChartTable[[#This Row],[Exluido?]]=1,"Excluido",ChartTable[[#This Row],[Novo?]]=1, "Novo", ChartTable[[#This Row],[Mudou?]]=1, "Mudou")</f>
        <v>Novo</v>
      </c>
    </row>
    <row r="244" spans="1:9" x14ac:dyDescent="0.25">
      <c r="A244" t="s">
        <v>253</v>
      </c>
      <c r="B244" s="10">
        <v>11994.079563754722</v>
      </c>
      <c r="C244" s="10"/>
      <c r="D244" s="11">
        <f>IF(AND(ChartTable[[#This Row],[Valor Encerrado]]=0, ChartTable[[#This Row],[Valor Ativo]]=""), 1, 0)</f>
        <v>0</v>
      </c>
      <c r="E244" s="11">
        <f>IF(AND(ChartTable[[#This Row],[Valor Ativo]]&lt;&gt;"", ChartTable[[#This Row],[Valor Encerrado]]=""), 1, 0)</f>
        <v>1</v>
      </c>
      <c r="F244" s="11">
        <f>IF(AND(ChartTable[[#This Row],[Novo?]]=0, ChartTable[[#This Row],[Valor Ativo]]&lt;&gt;ChartTable[[#This Row],[Valor Encerrado]]), 1, 0)</f>
        <v>0</v>
      </c>
      <c r="G244" s="18" t="str">
        <f>IF(ChartTable[[#This Row],[Mudou?]]=1, ChartTable[[#This Row],[Valor Encerrado]]-ChartTable[[#This Row],[Valor Ativo]], "")</f>
        <v/>
      </c>
      <c r="H244" s="11" t="str">
        <f>IF(ChartTable[[#This Row],[Mudou?]]=1, IF(ChartTable[[#This Row],[Diferença]]&gt;0, "aumentou", "diminuiu"), "")</f>
        <v/>
      </c>
      <c r="I244" s="11" t="str" cm="1">
        <f t="array" ref="I244">_xlfn.IFS(ChartTable[[#This Row],[Exluido?]]=1,"Excluido",ChartTable[[#This Row],[Novo?]]=1, "Novo", ChartTable[[#This Row],[Mudou?]]=1, "Mudou")</f>
        <v>Novo</v>
      </c>
    </row>
    <row r="245" spans="1:9" x14ac:dyDescent="0.25">
      <c r="A245" t="s">
        <v>254</v>
      </c>
      <c r="B245" s="10">
        <v>11994.079563754722</v>
      </c>
      <c r="C245" s="10"/>
      <c r="D245" s="11">
        <f>IF(AND(ChartTable[[#This Row],[Valor Encerrado]]=0, ChartTable[[#This Row],[Valor Ativo]]=""), 1, 0)</f>
        <v>0</v>
      </c>
      <c r="E245" s="11">
        <f>IF(AND(ChartTable[[#This Row],[Valor Ativo]]&lt;&gt;"", ChartTable[[#This Row],[Valor Encerrado]]=""), 1, 0)</f>
        <v>1</v>
      </c>
      <c r="F245" s="11">
        <f>IF(AND(ChartTable[[#This Row],[Novo?]]=0, ChartTable[[#This Row],[Valor Ativo]]&lt;&gt;ChartTable[[#This Row],[Valor Encerrado]]), 1, 0)</f>
        <v>0</v>
      </c>
      <c r="G245" s="18" t="str">
        <f>IF(ChartTable[[#This Row],[Mudou?]]=1, ChartTable[[#This Row],[Valor Encerrado]]-ChartTable[[#This Row],[Valor Ativo]], "")</f>
        <v/>
      </c>
      <c r="H245" s="11" t="str">
        <f>IF(ChartTable[[#This Row],[Mudou?]]=1, IF(ChartTable[[#This Row],[Diferença]]&gt;0, "aumentou", "diminuiu"), "")</f>
        <v/>
      </c>
      <c r="I245" s="11" t="str" cm="1">
        <f t="array" ref="I245">_xlfn.IFS(ChartTable[[#This Row],[Exluido?]]=1,"Excluido",ChartTable[[#This Row],[Novo?]]=1, "Novo", ChartTable[[#This Row],[Mudou?]]=1, "Mudou")</f>
        <v>Novo</v>
      </c>
    </row>
    <row r="246" spans="1:9" x14ac:dyDescent="0.25">
      <c r="A246" t="s">
        <v>255</v>
      </c>
      <c r="B246" s="10">
        <v>11994.079563754722</v>
      </c>
      <c r="C246" s="10"/>
      <c r="D246" s="11">
        <f>IF(AND(ChartTable[[#This Row],[Valor Encerrado]]=0, ChartTable[[#This Row],[Valor Ativo]]=""), 1, 0)</f>
        <v>0</v>
      </c>
      <c r="E246" s="11">
        <f>IF(AND(ChartTable[[#This Row],[Valor Ativo]]&lt;&gt;"", ChartTable[[#This Row],[Valor Encerrado]]=""), 1, 0)</f>
        <v>1</v>
      </c>
      <c r="F246" s="11">
        <f>IF(AND(ChartTable[[#This Row],[Novo?]]=0, ChartTable[[#This Row],[Valor Ativo]]&lt;&gt;ChartTable[[#This Row],[Valor Encerrado]]), 1, 0)</f>
        <v>0</v>
      </c>
      <c r="G246" s="18" t="str">
        <f>IF(ChartTable[[#This Row],[Mudou?]]=1, ChartTable[[#This Row],[Valor Encerrado]]-ChartTable[[#This Row],[Valor Ativo]], "")</f>
        <v/>
      </c>
      <c r="H246" s="11" t="str">
        <f>IF(ChartTable[[#This Row],[Mudou?]]=1, IF(ChartTable[[#This Row],[Diferença]]&gt;0, "aumentou", "diminuiu"), "")</f>
        <v/>
      </c>
      <c r="I246" s="11" t="str" cm="1">
        <f t="array" ref="I246">_xlfn.IFS(ChartTable[[#This Row],[Exluido?]]=1,"Excluido",ChartTable[[#This Row],[Novo?]]=1, "Novo", ChartTable[[#This Row],[Mudou?]]=1, "Mudou")</f>
        <v>Novo</v>
      </c>
    </row>
    <row r="247" spans="1:9" x14ac:dyDescent="0.25">
      <c r="A247" t="s">
        <v>256</v>
      </c>
      <c r="B247" s="10">
        <v>11994.079563754722</v>
      </c>
      <c r="C247" s="10"/>
      <c r="D247" s="11">
        <f>IF(AND(ChartTable[[#This Row],[Valor Encerrado]]=0, ChartTable[[#This Row],[Valor Ativo]]=""), 1, 0)</f>
        <v>0</v>
      </c>
      <c r="E247" s="11">
        <f>IF(AND(ChartTable[[#This Row],[Valor Ativo]]&lt;&gt;"", ChartTable[[#This Row],[Valor Encerrado]]=""), 1, 0)</f>
        <v>1</v>
      </c>
      <c r="F247" s="11">
        <f>IF(AND(ChartTable[[#This Row],[Novo?]]=0, ChartTable[[#This Row],[Valor Ativo]]&lt;&gt;ChartTable[[#This Row],[Valor Encerrado]]), 1, 0)</f>
        <v>0</v>
      </c>
      <c r="G247" s="18" t="str">
        <f>IF(ChartTable[[#This Row],[Mudou?]]=1, ChartTable[[#This Row],[Valor Encerrado]]-ChartTable[[#This Row],[Valor Ativo]], "")</f>
        <v/>
      </c>
      <c r="H247" s="11" t="str">
        <f>IF(ChartTable[[#This Row],[Mudou?]]=1, IF(ChartTable[[#This Row],[Diferença]]&gt;0, "aumentou", "diminuiu"), "")</f>
        <v/>
      </c>
      <c r="I247" s="11" t="str" cm="1">
        <f t="array" ref="I247">_xlfn.IFS(ChartTable[[#This Row],[Exluido?]]=1,"Excluido",ChartTable[[#This Row],[Novo?]]=1, "Novo", ChartTable[[#This Row],[Mudou?]]=1, "Mudou")</f>
        <v>Novo</v>
      </c>
    </row>
    <row r="248" spans="1:9" x14ac:dyDescent="0.25">
      <c r="A248" t="s">
        <v>257</v>
      </c>
      <c r="B248" s="10">
        <v>11994.079563754722</v>
      </c>
      <c r="C248" s="10"/>
      <c r="D248" s="11">
        <f>IF(AND(ChartTable[[#This Row],[Valor Encerrado]]=0, ChartTable[[#This Row],[Valor Ativo]]=""), 1, 0)</f>
        <v>0</v>
      </c>
      <c r="E248" s="11">
        <f>IF(AND(ChartTable[[#This Row],[Valor Ativo]]&lt;&gt;"", ChartTable[[#This Row],[Valor Encerrado]]=""), 1, 0)</f>
        <v>1</v>
      </c>
      <c r="F248" s="11">
        <f>IF(AND(ChartTable[[#This Row],[Novo?]]=0, ChartTable[[#This Row],[Valor Ativo]]&lt;&gt;ChartTable[[#This Row],[Valor Encerrado]]), 1, 0)</f>
        <v>0</v>
      </c>
      <c r="G248" s="18" t="str">
        <f>IF(ChartTable[[#This Row],[Mudou?]]=1, ChartTable[[#This Row],[Valor Encerrado]]-ChartTable[[#This Row],[Valor Ativo]], "")</f>
        <v/>
      </c>
      <c r="H248" s="11" t="str">
        <f>IF(ChartTable[[#This Row],[Mudou?]]=1, IF(ChartTable[[#This Row],[Diferença]]&gt;0, "aumentou", "diminuiu"), "")</f>
        <v/>
      </c>
      <c r="I248" s="11" t="str" cm="1">
        <f t="array" ref="I248">_xlfn.IFS(ChartTable[[#This Row],[Exluido?]]=1,"Excluido",ChartTable[[#This Row],[Novo?]]=1, "Novo", ChartTable[[#This Row],[Mudou?]]=1, "Mudou")</f>
        <v>Novo</v>
      </c>
    </row>
    <row r="249" spans="1:9" x14ac:dyDescent="0.25">
      <c r="A249" t="s">
        <v>258</v>
      </c>
      <c r="B249" s="10">
        <v>11994.079563754722</v>
      </c>
      <c r="C249" s="10"/>
      <c r="D249" s="11">
        <f>IF(AND(ChartTable[[#This Row],[Valor Encerrado]]=0, ChartTable[[#This Row],[Valor Ativo]]=""), 1, 0)</f>
        <v>0</v>
      </c>
      <c r="E249" s="11">
        <f>IF(AND(ChartTable[[#This Row],[Valor Ativo]]&lt;&gt;"", ChartTable[[#This Row],[Valor Encerrado]]=""), 1, 0)</f>
        <v>1</v>
      </c>
      <c r="F249" s="11">
        <f>IF(AND(ChartTable[[#This Row],[Novo?]]=0, ChartTable[[#This Row],[Valor Ativo]]&lt;&gt;ChartTable[[#This Row],[Valor Encerrado]]), 1, 0)</f>
        <v>0</v>
      </c>
      <c r="G249" s="18" t="str">
        <f>IF(ChartTable[[#This Row],[Mudou?]]=1, ChartTable[[#This Row],[Valor Encerrado]]-ChartTable[[#This Row],[Valor Ativo]], "")</f>
        <v/>
      </c>
      <c r="H249" s="11" t="str">
        <f>IF(ChartTable[[#This Row],[Mudou?]]=1, IF(ChartTable[[#This Row],[Diferença]]&gt;0, "aumentou", "diminuiu"), "")</f>
        <v/>
      </c>
      <c r="I249" s="11" t="str" cm="1">
        <f t="array" ref="I249">_xlfn.IFS(ChartTable[[#This Row],[Exluido?]]=1,"Excluido",ChartTable[[#This Row],[Novo?]]=1, "Novo", ChartTable[[#This Row],[Mudou?]]=1, "Mudou")</f>
        <v>Novo</v>
      </c>
    </row>
    <row r="250" spans="1:9" x14ac:dyDescent="0.25">
      <c r="A250" t="s">
        <v>259</v>
      </c>
      <c r="B250" s="10">
        <v>11994.079563754722</v>
      </c>
      <c r="C250" s="10"/>
      <c r="D250" s="11">
        <f>IF(AND(ChartTable[[#This Row],[Valor Encerrado]]=0, ChartTable[[#This Row],[Valor Ativo]]=""), 1, 0)</f>
        <v>0</v>
      </c>
      <c r="E250" s="11">
        <f>IF(AND(ChartTable[[#This Row],[Valor Ativo]]&lt;&gt;"", ChartTable[[#This Row],[Valor Encerrado]]=""), 1, 0)</f>
        <v>1</v>
      </c>
      <c r="F250" s="11">
        <f>IF(AND(ChartTable[[#This Row],[Novo?]]=0, ChartTable[[#This Row],[Valor Ativo]]&lt;&gt;ChartTable[[#This Row],[Valor Encerrado]]), 1, 0)</f>
        <v>0</v>
      </c>
      <c r="G250" s="18" t="str">
        <f>IF(ChartTable[[#This Row],[Mudou?]]=1, ChartTable[[#This Row],[Valor Encerrado]]-ChartTable[[#This Row],[Valor Ativo]], "")</f>
        <v/>
      </c>
      <c r="H250" s="11" t="str">
        <f>IF(ChartTable[[#This Row],[Mudou?]]=1, IF(ChartTable[[#This Row],[Diferença]]&gt;0, "aumentou", "diminuiu"), "")</f>
        <v/>
      </c>
      <c r="I250" s="11" t="str" cm="1">
        <f t="array" ref="I250">_xlfn.IFS(ChartTable[[#This Row],[Exluido?]]=1,"Excluido",ChartTable[[#This Row],[Novo?]]=1, "Novo", ChartTable[[#This Row],[Mudou?]]=1, "Mudou")</f>
        <v>Novo</v>
      </c>
    </row>
    <row r="251" spans="1:9" x14ac:dyDescent="0.25">
      <c r="A251" t="s">
        <v>260</v>
      </c>
      <c r="B251" s="10">
        <v>11994.079563754722</v>
      </c>
      <c r="C251" s="10"/>
      <c r="D251" s="11">
        <f>IF(AND(ChartTable[[#This Row],[Valor Encerrado]]=0, ChartTable[[#This Row],[Valor Ativo]]=""), 1, 0)</f>
        <v>0</v>
      </c>
      <c r="E251" s="11">
        <f>IF(AND(ChartTable[[#This Row],[Valor Ativo]]&lt;&gt;"", ChartTable[[#This Row],[Valor Encerrado]]=""), 1, 0)</f>
        <v>1</v>
      </c>
      <c r="F251" s="11">
        <f>IF(AND(ChartTable[[#This Row],[Novo?]]=0, ChartTable[[#This Row],[Valor Ativo]]&lt;&gt;ChartTable[[#This Row],[Valor Encerrado]]), 1, 0)</f>
        <v>0</v>
      </c>
      <c r="G251" s="18" t="str">
        <f>IF(ChartTable[[#This Row],[Mudou?]]=1, ChartTable[[#This Row],[Valor Encerrado]]-ChartTable[[#This Row],[Valor Ativo]], "")</f>
        <v/>
      </c>
      <c r="H251" s="11" t="str">
        <f>IF(ChartTable[[#This Row],[Mudou?]]=1, IF(ChartTable[[#This Row],[Diferença]]&gt;0, "aumentou", "diminuiu"), "")</f>
        <v/>
      </c>
      <c r="I251" s="11" t="str" cm="1">
        <f t="array" ref="I251">_xlfn.IFS(ChartTable[[#This Row],[Exluido?]]=1,"Excluido",ChartTable[[#This Row],[Novo?]]=1, "Novo", ChartTable[[#This Row],[Mudou?]]=1, "Mudou")</f>
        <v>Novo</v>
      </c>
    </row>
    <row r="252" spans="1:9" x14ac:dyDescent="0.25">
      <c r="A252" t="s">
        <v>261</v>
      </c>
      <c r="B252" s="10">
        <v>11994.079563754722</v>
      </c>
      <c r="C252" s="10"/>
      <c r="D252" s="11">
        <f>IF(AND(ChartTable[[#This Row],[Valor Encerrado]]=0, ChartTable[[#This Row],[Valor Ativo]]=""), 1, 0)</f>
        <v>0</v>
      </c>
      <c r="E252" s="11">
        <f>IF(AND(ChartTable[[#This Row],[Valor Ativo]]&lt;&gt;"", ChartTable[[#This Row],[Valor Encerrado]]=""), 1, 0)</f>
        <v>1</v>
      </c>
      <c r="F252" s="11">
        <f>IF(AND(ChartTable[[#This Row],[Novo?]]=0, ChartTable[[#This Row],[Valor Ativo]]&lt;&gt;ChartTable[[#This Row],[Valor Encerrado]]), 1, 0)</f>
        <v>0</v>
      </c>
      <c r="G252" s="18" t="str">
        <f>IF(ChartTable[[#This Row],[Mudou?]]=1, ChartTable[[#This Row],[Valor Encerrado]]-ChartTable[[#This Row],[Valor Ativo]], "")</f>
        <v/>
      </c>
      <c r="H252" s="11" t="str">
        <f>IF(ChartTable[[#This Row],[Mudou?]]=1, IF(ChartTable[[#This Row],[Diferença]]&gt;0, "aumentou", "diminuiu"), "")</f>
        <v/>
      </c>
      <c r="I252" s="11" t="str" cm="1">
        <f t="array" ref="I252">_xlfn.IFS(ChartTable[[#This Row],[Exluido?]]=1,"Excluido",ChartTable[[#This Row],[Novo?]]=1, "Novo", ChartTable[[#This Row],[Mudou?]]=1, "Mudou")</f>
        <v>Novo</v>
      </c>
    </row>
    <row r="253" spans="1:9" x14ac:dyDescent="0.25">
      <c r="A253" t="s">
        <v>262</v>
      </c>
      <c r="B253" s="10">
        <v>11994.079563754722</v>
      </c>
      <c r="C253" s="10"/>
      <c r="D253" s="11">
        <f>IF(AND(ChartTable[[#This Row],[Valor Encerrado]]=0, ChartTable[[#This Row],[Valor Ativo]]=""), 1, 0)</f>
        <v>0</v>
      </c>
      <c r="E253" s="11">
        <f>IF(AND(ChartTable[[#This Row],[Valor Ativo]]&lt;&gt;"", ChartTable[[#This Row],[Valor Encerrado]]=""), 1, 0)</f>
        <v>1</v>
      </c>
      <c r="F253" s="11">
        <f>IF(AND(ChartTable[[#This Row],[Novo?]]=0, ChartTable[[#This Row],[Valor Ativo]]&lt;&gt;ChartTable[[#This Row],[Valor Encerrado]]), 1, 0)</f>
        <v>0</v>
      </c>
      <c r="G253" s="18" t="str">
        <f>IF(ChartTable[[#This Row],[Mudou?]]=1, ChartTable[[#This Row],[Valor Encerrado]]-ChartTable[[#This Row],[Valor Ativo]], "")</f>
        <v/>
      </c>
      <c r="H253" s="11" t="str">
        <f>IF(ChartTable[[#This Row],[Mudou?]]=1, IF(ChartTable[[#This Row],[Diferença]]&gt;0, "aumentou", "diminuiu"), "")</f>
        <v/>
      </c>
      <c r="I253" s="11" t="str" cm="1">
        <f t="array" ref="I253">_xlfn.IFS(ChartTable[[#This Row],[Exluido?]]=1,"Excluido",ChartTable[[#This Row],[Novo?]]=1, "Novo", ChartTable[[#This Row],[Mudou?]]=1, "Mudou")</f>
        <v>Novo</v>
      </c>
    </row>
    <row r="254" spans="1:9" x14ac:dyDescent="0.25">
      <c r="A254" t="s">
        <v>263</v>
      </c>
      <c r="B254" s="10">
        <v>11994.079563754722</v>
      </c>
      <c r="C254" s="10"/>
      <c r="D254" s="11">
        <f>IF(AND(ChartTable[[#This Row],[Valor Encerrado]]=0, ChartTable[[#This Row],[Valor Ativo]]=""), 1, 0)</f>
        <v>0</v>
      </c>
      <c r="E254" s="11">
        <f>IF(AND(ChartTable[[#This Row],[Valor Ativo]]&lt;&gt;"", ChartTable[[#This Row],[Valor Encerrado]]=""), 1, 0)</f>
        <v>1</v>
      </c>
      <c r="F254" s="11">
        <f>IF(AND(ChartTable[[#This Row],[Novo?]]=0, ChartTable[[#This Row],[Valor Ativo]]&lt;&gt;ChartTable[[#This Row],[Valor Encerrado]]), 1, 0)</f>
        <v>0</v>
      </c>
      <c r="G254" s="18" t="str">
        <f>IF(ChartTable[[#This Row],[Mudou?]]=1, ChartTable[[#This Row],[Valor Encerrado]]-ChartTable[[#This Row],[Valor Ativo]], "")</f>
        <v/>
      </c>
      <c r="H254" s="11" t="str">
        <f>IF(ChartTable[[#This Row],[Mudou?]]=1, IF(ChartTable[[#This Row],[Diferença]]&gt;0, "aumentou", "diminuiu"), "")</f>
        <v/>
      </c>
      <c r="I254" s="11" t="str" cm="1">
        <f t="array" ref="I254">_xlfn.IFS(ChartTable[[#This Row],[Exluido?]]=1,"Excluido",ChartTable[[#This Row],[Novo?]]=1, "Novo", ChartTable[[#This Row],[Mudou?]]=1, "Mudou")</f>
        <v>Novo</v>
      </c>
    </row>
    <row r="255" spans="1:9" x14ac:dyDescent="0.25">
      <c r="A255" t="s">
        <v>264</v>
      </c>
      <c r="B255" s="10">
        <v>11994.079563754722</v>
      </c>
      <c r="C255" s="10"/>
      <c r="D255" s="11">
        <f>IF(AND(ChartTable[[#This Row],[Valor Encerrado]]=0, ChartTable[[#This Row],[Valor Ativo]]=""), 1, 0)</f>
        <v>0</v>
      </c>
      <c r="E255" s="11">
        <f>IF(AND(ChartTable[[#This Row],[Valor Ativo]]&lt;&gt;"", ChartTable[[#This Row],[Valor Encerrado]]=""), 1, 0)</f>
        <v>1</v>
      </c>
      <c r="F255" s="11">
        <f>IF(AND(ChartTable[[#This Row],[Novo?]]=0, ChartTable[[#This Row],[Valor Ativo]]&lt;&gt;ChartTable[[#This Row],[Valor Encerrado]]), 1, 0)</f>
        <v>0</v>
      </c>
      <c r="G255" s="18" t="str">
        <f>IF(ChartTable[[#This Row],[Mudou?]]=1, ChartTable[[#This Row],[Valor Encerrado]]-ChartTable[[#This Row],[Valor Ativo]], "")</f>
        <v/>
      </c>
      <c r="H255" s="11" t="str">
        <f>IF(ChartTable[[#This Row],[Mudou?]]=1, IF(ChartTable[[#This Row],[Diferença]]&gt;0, "aumentou", "diminuiu"), "")</f>
        <v/>
      </c>
      <c r="I255" s="11" t="str" cm="1">
        <f t="array" ref="I255">_xlfn.IFS(ChartTable[[#This Row],[Exluido?]]=1,"Excluido",ChartTable[[#This Row],[Novo?]]=1, "Novo", ChartTable[[#This Row],[Mudou?]]=1, "Mudou")</f>
        <v>Novo</v>
      </c>
    </row>
    <row r="256" spans="1:9" x14ac:dyDescent="0.25">
      <c r="A256" t="s">
        <v>265</v>
      </c>
      <c r="B256" s="10">
        <v>11994.079563754722</v>
      </c>
      <c r="C256" s="10"/>
      <c r="D256" s="11">
        <f>IF(AND(ChartTable[[#This Row],[Valor Encerrado]]=0, ChartTable[[#This Row],[Valor Ativo]]=""), 1, 0)</f>
        <v>0</v>
      </c>
      <c r="E256" s="11">
        <f>IF(AND(ChartTable[[#This Row],[Valor Ativo]]&lt;&gt;"", ChartTable[[#This Row],[Valor Encerrado]]=""), 1, 0)</f>
        <v>1</v>
      </c>
      <c r="F256" s="11">
        <f>IF(AND(ChartTable[[#This Row],[Novo?]]=0, ChartTable[[#This Row],[Valor Ativo]]&lt;&gt;ChartTable[[#This Row],[Valor Encerrado]]), 1, 0)</f>
        <v>0</v>
      </c>
      <c r="G256" s="18" t="str">
        <f>IF(ChartTable[[#This Row],[Mudou?]]=1, ChartTable[[#This Row],[Valor Encerrado]]-ChartTable[[#This Row],[Valor Ativo]], "")</f>
        <v/>
      </c>
      <c r="H256" s="11" t="str">
        <f>IF(ChartTable[[#This Row],[Mudou?]]=1, IF(ChartTable[[#This Row],[Diferença]]&gt;0, "aumentou", "diminuiu"), "")</f>
        <v/>
      </c>
      <c r="I256" s="11" t="str" cm="1">
        <f t="array" ref="I256">_xlfn.IFS(ChartTable[[#This Row],[Exluido?]]=1,"Excluido",ChartTable[[#This Row],[Novo?]]=1, "Novo", ChartTable[[#This Row],[Mudou?]]=1, "Mudou")</f>
        <v>Novo</v>
      </c>
    </row>
    <row r="257" spans="1:9" x14ac:dyDescent="0.25">
      <c r="A257" t="s">
        <v>266</v>
      </c>
      <c r="B257" s="10">
        <v>11994.079563754722</v>
      </c>
      <c r="C257" s="10"/>
      <c r="D257" s="11">
        <f>IF(AND(ChartTable[[#This Row],[Valor Encerrado]]=0, ChartTable[[#This Row],[Valor Ativo]]=""), 1, 0)</f>
        <v>0</v>
      </c>
      <c r="E257" s="11">
        <f>IF(AND(ChartTable[[#This Row],[Valor Ativo]]&lt;&gt;"", ChartTable[[#This Row],[Valor Encerrado]]=""), 1, 0)</f>
        <v>1</v>
      </c>
      <c r="F257" s="11">
        <f>IF(AND(ChartTable[[#This Row],[Novo?]]=0, ChartTable[[#This Row],[Valor Ativo]]&lt;&gt;ChartTable[[#This Row],[Valor Encerrado]]), 1, 0)</f>
        <v>0</v>
      </c>
      <c r="G257" s="18" t="str">
        <f>IF(ChartTable[[#This Row],[Mudou?]]=1, ChartTable[[#This Row],[Valor Encerrado]]-ChartTable[[#This Row],[Valor Ativo]], "")</f>
        <v/>
      </c>
      <c r="H257" s="11" t="str">
        <f>IF(ChartTable[[#This Row],[Mudou?]]=1, IF(ChartTable[[#This Row],[Diferença]]&gt;0, "aumentou", "diminuiu"), "")</f>
        <v/>
      </c>
      <c r="I257" s="11" t="str" cm="1">
        <f t="array" ref="I257">_xlfn.IFS(ChartTable[[#This Row],[Exluido?]]=1,"Excluido",ChartTable[[#This Row],[Novo?]]=1, "Novo", ChartTable[[#This Row],[Mudou?]]=1, "Mudou")</f>
        <v>Novo</v>
      </c>
    </row>
    <row r="258" spans="1:9" x14ac:dyDescent="0.25">
      <c r="A258" t="s">
        <v>267</v>
      </c>
      <c r="B258" s="10">
        <v>11994.079563754722</v>
      </c>
      <c r="C258" s="10"/>
      <c r="D258" s="11">
        <f>IF(AND(ChartTable[[#This Row],[Valor Encerrado]]=0, ChartTable[[#This Row],[Valor Ativo]]=""), 1, 0)</f>
        <v>0</v>
      </c>
      <c r="E258" s="11">
        <f>IF(AND(ChartTable[[#This Row],[Valor Ativo]]&lt;&gt;"", ChartTable[[#This Row],[Valor Encerrado]]=""), 1, 0)</f>
        <v>1</v>
      </c>
      <c r="F258" s="11">
        <f>IF(AND(ChartTable[[#This Row],[Novo?]]=0, ChartTable[[#This Row],[Valor Ativo]]&lt;&gt;ChartTable[[#This Row],[Valor Encerrado]]), 1, 0)</f>
        <v>0</v>
      </c>
      <c r="G258" s="18" t="str">
        <f>IF(ChartTable[[#This Row],[Mudou?]]=1, ChartTable[[#This Row],[Valor Encerrado]]-ChartTable[[#This Row],[Valor Ativo]], "")</f>
        <v/>
      </c>
      <c r="H258" s="11" t="str">
        <f>IF(ChartTable[[#This Row],[Mudou?]]=1, IF(ChartTable[[#This Row],[Diferença]]&gt;0, "aumentou", "diminuiu"), "")</f>
        <v/>
      </c>
      <c r="I258" s="11" t="str" cm="1">
        <f t="array" ref="I258">_xlfn.IFS(ChartTable[[#This Row],[Exluido?]]=1,"Excluido",ChartTable[[#This Row],[Novo?]]=1, "Novo", ChartTable[[#This Row],[Mudou?]]=1, "Mudou")</f>
        <v>Novo</v>
      </c>
    </row>
    <row r="259" spans="1:9" x14ac:dyDescent="0.25">
      <c r="A259" t="s">
        <v>268</v>
      </c>
      <c r="B259" s="10">
        <v>11994.079563754722</v>
      </c>
      <c r="C259" s="10"/>
      <c r="D259" s="11">
        <f>IF(AND(ChartTable[[#This Row],[Valor Encerrado]]=0, ChartTable[[#This Row],[Valor Ativo]]=""), 1, 0)</f>
        <v>0</v>
      </c>
      <c r="E259" s="11">
        <f>IF(AND(ChartTable[[#This Row],[Valor Ativo]]&lt;&gt;"", ChartTable[[#This Row],[Valor Encerrado]]=""), 1, 0)</f>
        <v>1</v>
      </c>
      <c r="F259" s="11">
        <f>IF(AND(ChartTable[[#This Row],[Novo?]]=0, ChartTable[[#This Row],[Valor Ativo]]&lt;&gt;ChartTable[[#This Row],[Valor Encerrado]]), 1, 0)</f>
        <v>0</v>
      </c>
      <c r="G259" s="18" t="str">
        <f>IF(ChartTable[[#This Row],[Mudou?]]=1, ChartTable[[#This Row],[Valor Encerrado]]-ChartTable[[#This Row],[Valor Ativo]], "")</f>
        <v/>
      </c>
      <c r="H259" s="11" t="str">
        <f>IF(ChartTable[[#This Row],[Mudou?]]=1, IF(ChartTable[[#This Row],[Diferença]]&gt;0, "aumentou", "diminuiu"), "")</f>
        <v/>
      </c>
      <c r="I259" s="11" t="str" cm="1">
        <f t="array" ref="I259">_xlfn.IFS(ChartTable[[#This Row],[Exluido?]]=1,"Excluido",ChartTable[[#This Row],[Novo?]]=1, "Novo", ChartTable[[#This Row],[Mudou?]]=1, "Mudou")</f>
        <v>Novo</v>
      </c>
    </row>
    <row r="260" spans="1:9" x14ac:dyDescent="0.25">
      <c r="A260" t="s">
        <v>269</v>
      </c>
      <c r="B260" s="10">
        <v>11994.079563754722</v>
      </c>
      <c r="C260" s="10"/>
      <c r="D260" s="11">
        <f>IF(AND(ChartTable[[#This Row],[Valor Encerrado]]=0, ChartTable[[#This Row],[Valor Ativo]]=""), 1, 0)</f>
        <v>0</v>
      </c>
      <c r="E260" s="11">
        <f>IF(AND(ChartTable[[#This Row],[Valor Ativo]]&lt;&gt;"", ChartTable[[#This Row],[Valor Encerrado]]=""), 1, 0)</f>
        <v>1</v>
      </c>
      <c r="F260" s="11">
        <f>IF(AND(ChartTable[[#This Row],[Novo?]]=0, ChartTable[[#This Row],[Valor Ativo]]&lt;&gt;ChartTable[[#This Row],[Valor Encerrado]]), 1, 0)</f>
        <v>0</v>
      </c>
      <c r="G260" s="18" t="str">
        <f>IF(ChartTable[[#This Row],[Mudou?]]=1, ChartTable[[#This Row],[Valor Encerrado]]-ChartTable[[#This Row],[Valor Ativo]], "")</f>
        <v/>
      </c>
      <c r="H260" s="11" t="str">
        <f>IF(ChartTable[[#This Row],[Mudou?]]=1, IF(ChartTable[[#This Row],[Diferença]]&gt;0, "aumentou", "diminuiu"), "")</f>
        <v/>
      </c>
      <c r="I260" s="11" t="str" cm="1">
        <f t="array" ref="I260">_xlfn.IFS(ChartTable[[#This Row],[Exluido?]]=1,"Excluido",ChartTable[[#This Row],[Novo?]]=1, "Novo", ChartTable[[#This Row],[Mudou?]]=1, "Mudou")</f>
        <v>Novo</v>
      </c>
    </row>
    <row r="261" spans="1:9" x14ac:dyDescent="0.25">
      <c r="A261" t="s">
        <v>270</v>
      </c>
      <c r="B261" s="10">
        <v>11994.079563754722</v>
      </c>
      <c r="C261" s="10"/>
      <c r="D261" s="11">
        <f>IF(AND(ChartTable[[#This Row],[Valor Encerrado]]=0, ChartTable[[#This Row],[Valor Ativo]]=""), 1, 0)</f>
        <v>0</v>
      </c>
      <c r="E261" s="11">
        <f>IF(AND(ChartTable[[#This Row],[Valor Ativo]]&lt;&gt;"", ChartTable[[#This Row],[Valor Encerrado]]=""), 1, 0)</f>
        <v>1</v>
      </c>
      <c r="F261" s="11">
        <f>IF(AND(ChartTable[[#This Row],[Novo?]]=0, ChartTable[[#This Row],[Valor Ativo]]&lt;&gt;ChartTable[[#This Row],[Valor Encerrado]]), 1, 0)</f>
        <v>0</v>
      </c>
      <c r="G261" s="18" t="str">
        <f>IF(ChartTable[[#This Row],[Mudou?]]=1, ChartTable[[#This Row],[Valor Encerrado]]-ChartTable[[#This Row],[Valor Ativo]], "")</f>
        <v/>
      </c>
      <c r="H261" s="11" t="str">
        <f>IF(ChartTable[[#This Row],[Mudou?]]=1, IF(ChartTable[[#This Row],[Diferença]]&gt;0, "aumentou", "diminuiu"), "")</f>
        <v/>
      </c>
      <c r="I261" s="11" t="str" cm="1">
        <f t="array" ref="I261">_xlfn.IFS(ChartTable[[#This Row],[Exluido?]]=1,"Excluido",ChartTable[[#This Row],[Novo?]]=1, "Novo", ChartTable[[#This Row],[Mudou?]]=1, "Mudou")</f>
        <v>Novo</v>
      </c>
    </row>
    <row r="262" spans="1:9" x14ac:dyDescent="0.25">
      <c r="A262" t="s">
        <v>271</v>
      </c>
      <c r="B262" s="10">
        <v>11994.079563754722</v>
      </c>
      <c r="C262" s="10"/>
      <c r="D262" s="11">
        <f>IF(AND(ChartTable[[#This Row],[Valor Encerrado]]=0, ChartTable[[#This Row],[Valor Ativo]]=""), 1, 0)</f>
        <v>0</v>
      </c>
      <c r="E262" s="11">
        <f>IF(AND(ChartTable[[#This Row],[Valor Ativo]]&lt;&gt;"", ChartTable[[#This Row],[Valor Encerrado]]=""), 1, 0)</f>
        <v>1</v>
      </c>
      <c r="F262" s="11">
        <f>IF(AND(ChartTable[[#This Row],[Novo?]]=0, ChartTable[[#This Row],[Valor Ativo]]&lt;&gt;ChartTable[[#This Row],[Valor Encerrado]]), 1, 0)</f>
        <v>0</v>
      </c>
      <c r="G262" s="18" t="str">
        <f>IF(ChartTable[[#This Row],[Mudou?]]=1, ChartTable[[#This Row],[Valor Encerrado]]-ChartTable[[#This Row],[Valor Ativo]], "")</f>
        <v/>
      </c>
      <c r="H262" s="11" t="str">
        <f>IF(ChartTable[[#This Row],[Mudou?]]=1, IF(ChartTable[[#This Row],[Diferença]]&gt;0, "aumentou", "diminuiu"), "")</f>
        <v/>
      </c>
      <c r="I262" s="11" t="str" cm="1">
        <f t="array" ref="I262">_xlfn.IFS(ChartTable[[#This Row],[Exluido?]]=1,"Excluido",ChartTable[[#This Row],[Novo?]]=1, "Novo", ChartTable[[#This Row],[Mudou?]]=1, "Mudou")</f>
        <v>Novo</v>
      </c>
    </row>
    <row r="263" spans="1:9" x14ac:dyDescent="0.25">
      <c r="A263" t="s">
        <v>272</v>
      </c>
      <c r="B263" s="10">
        <v>11994.079563754722</v>
      </c>
      <c r="C263" s="10"/>
      <c r="D263" s="11">
        <f>IF(AND(ChartTable[[#This Row],[Valor Encerrado]]=0, ChartTable[[#This Row],[Valor Ativo]]=""), 1, 0)</f>
        <v>0</v>
      </c>
      <c r="E263" s="11">
        <f>IF(AND(ChartTable[[#This Row],[Valor Ativo]]&lt;&gt;"", ChartTable[[#This Row],[Valor Encerrado]]=""), 1, 0)</f>
        <v>1</v>
      </c>
      <c r="F263" s="11">
        <f>IF(AND(ChartTable[[#This Row],[Novo?]]=0, ChartTable[[#This Row],[Valor Ativo]]&lt;&gt;ChartTable[[#This Row],[Valor Encerrado]]), 1, 0)</f>
        <v>0</v>
      </c>
      <c r="G263" s="18" t="str">
        <f>IF(ChartTable[[#This Row],[Mudou?]]=1, ChartTable[[#This Row],[Valor Encerrado]]-ChartTable[[#This Row],[Valor Ativo]], "")</f>
        <v/>
      </c>
      <c r="H263" s="11" t="str">
        <f>IF(ChartTable[[#This Row],[Mudou?]]=1, IF(ChartTable[[#This Row],[Diferença]]&gt;0, "aumentou", "diminuiu"), "")</f>
        <v/>
      </c>
      <c r="I263" s="11" t="str" cm="1">
        <f t="array" ref="I263">_xlfn.IFS(ChartTable[[#This Row],[Exluido?]]=1,"Excluido",ChartTable[[#This Row],[Novo?]]=1, "Novo", ChartTable[[#This Row],[Mudou?]]=1, "Mudou")</f>
        <v>Novo</v>
      </c>
    </row>
    <row r="264" spans="1:9" x14ac:dyDescent="0.25">
      <c r="A264" t="s">
        <v>273</v>
      </c>
      <c r="B264" s="10">
        <v>11994.079563754722</v>
      </c>
      <c r="C264" s="10"/>
      <c r="D264" s="11">
        <f>IF(AND(ChartTable[[#This Row],[Valor Encerrado]]=0, ChartTable[[#This Row],[Valor Ativo]]=""), 1, 0)</f>
        <v>0</v>
      </c>
      <c r="E264" s="11">
        <f>IF(AND(ChartTable[[#This Row],[Valor Ativo]]&lt;&gt;"", ChartTable[[#This Row],[Valor Encerrado]]=""), 1, 0)</f>
        <v>1</v>
      </c>
      <c r="F264" s="11">
        <f>IF(AND(ChartTable[[#This Row],[Novo?]]=0, ChartTable[[#This Row],[Valor Ativo]]&lt;&gt;ChartTable[[#This Row],[Valor Encerrado]]), 1, 0)</f>
        <v>0</v>
      </c>
      <c r="G264" s="18" t="str">
        <f>IF(ChartTable[[#This Row],[Mudou?]]=1, ChartTable[[#This Row],[Valor Encerrado]]-ChartTable[[#This Row],[Valor Ativo]], "")</f>
        <v/>
      </c>
      <c r="H264" s="11" t="str">
        <f>IF(ChartTable[[#This Row],[Mudou?]]=1, IF(ChartTable[[#This Row],[Diferença]]&gt;0, "aumentou", "diminuiu"), "")</f>
        <v/>
      </c>
      <c r="I264" s="11" t="str" cm="1">
        <f t="array" ref="I264">_xlfn.IFS(ChartTable[[#This Row],[Exluido?]]=1,"Excluido",ChartTable[[#This Row],[Novo?]]=1, "Novo", ChartTable[[#This Row],[Mudou?]]=1, "Mudou")</f>
        <v>Novo</v>
      </c>
    </row>
    <row r="265" spans="1:9" x14ac:dyDescent="0.25">
      <c r="A265" t="s">
        <v>274</v>
      </c>
      <c r="B265" s="10">
        <v>11994.079563754722</v>
      </c>
      <c r="C265" s="10"/>
      <c r="D265" s="11">
        <f>IF(AND(ChartTable[[#This Row],[Valor Encerrado]]=0, ChartTable[[#This Row],[Valor Ativo]]=""), 1, 0)</f>
        <v>0</v>
      </c>
      <c r="E265" s="11">
        <f>IF(AND(ChartTable[[#This Row],[Valor Ativo]]&lt;&gt;"", ChartTable[[#This Row],[Valor Encerrado]]=""), 1, 0)</f>
        <v>1</v>
      </c>
      <c r="F265" s="11">
        <f>IF(AND(ChartTable[[#This Row],[Novo?]]=0, ChartTable[[#This Row],[Valor Ativo]]&lt;&gt;ChartTable[[#This Row],[Valor Encerrado]]), 1, 0)</f>
        <v>0</v>
      </c>
      <c r="G265" s="18" t="str">
        <f>IF(ChartTable[[#This Row],[Mudou?]]=1, ChartTable[[#This Row],[Valor Encerrado]]-ChartTable[[#This Row],[Valor Ativo]], "")</f>
        <v/>
      </c>
      <c r="H265" s="11" t="str">
        <f>IF(ChartTable[[#This Row],[Mudou?]]=1, IF(ChartTable[[#This Row],[Diferença]]&gt;0, "aumentou", "diminuiu"), "")</f>
        <v/>
      </c>
      <c r="I265" s="11" t="str" cm="1">
        <f t="array" ref="I265">_xlfn.IFS(ChartTable[[#This Row],[Exluido?]]=1,"Excluido",ChartTable[[#This Row],[Novo?]]=1, "Novo", ChartTable[[#This Row],[Mudou?]]=1, "Mudou")</f>
        <v>Novo</v>
      </c>
    </row>
    <row r="266" spans="1:9" x14ac:dyDescent="0.25">
      <c r="A266" t="s">
        <v>275</v>
      </c>
      <c r="B266" s="10">
        <v>11994.079563754722</v>
      </c>
      <c r="C266" s="10"/>
      <c r="D266" s="11">
        <f>IF(AND(ChartTable[[#This Row],[Valor Encerrado]]=0, ChartTable[[#This Row],[Valor Ativo]]=""), 1, 0)</f>
        <v>0</v>
      </c>
      <c r="E266" s="11">
        <f>IF(AND(ChartTable[[#This Row],[Valor Ativo]]&lt;&gt;"", ChartTable[[#This Row],[Valor Encerrado]]=""), 1, 0)</f>
        <v>1</v>
      </c>
      <c r="F266" s="11">
        <f>IF(AND(ChartTable[[#This Row],[Novo?]]=0, ChartTable[[#This Row],[Valor Ativo]]&lt;&gt;ChartTable[[#This Row],[Valor Encerrado]]), 1, 0)</f>
        <v>0</v>
      </c>
      <c r="G266" s="18" t="str">
        <f>IF(ChartTable[[#This Row],[Mudou?]]=1, ChartTable[[#This Row],[Valor Encerrado]]-ChartTable[[#This Row],[Valor Ativo]], "")</f>
        <v/>
      </c>
      <c r="H266" s="11" t="str">
        <f>IF(ChartTable[[#This Row],[Mudou?]]=1, IF(ChartTable[[#This Row],[Diferença]]&gt;0, "aumentou", "diminuiu"), "")</f>
        <v/>
      </c>
      <c r="I266" s="11" t="str" cm="1">
        <f t="array" ref="I266">_xlfn.IFS(ChartTable[[#This Row],[Exluido?]]=1,"Excluido",ChartTable[[#This Row],[Novo?]]=1, "Novo", ChartTable[[#This Row],[Mudou?]]=1, "Mudou")</f>
        <v>Novo</v>
      </c>
    </row>
    <row r="267" spans="1:9" x14ac:dyDescent="0.25">
      <c r="A267" t="s">
        <v>276</v>
      </c>
      <c r="B267" s="10">
        <v>11994.079563754722</v>
      </c>
      <c r="C267" s="10"/>
      <c r="D267" s="11">
        <f>IF(AND(ChartTable[[#This Row],[Valor Encerrado]]=0, ChartTable[[#This Row],[Valor Ativo]]=""), 1, 0)</f>
        <v>0</v>
      </c>
      <c r="E267" s="11">
        <f>IF(AND(ChartTable[[#This Row],[Valor Ativo]]&lt;&gt;"", ChartTable[[#This Row],[Valor Encerrado]]=""), 1, 0)</f>
        <v>1</v>
      </c>
      <c r="F267" s="11">
        <f>IF(AND(ChartTable[[#This Row],[Novo?]]=0, ChartTable[[#This Row],[Valor Ativo]]&lt;&gt;ChartTable[[#This Row],[Valor Encerrado]]), 1, 0)</f>
        <v>0</v>
      </c>
      <c r="G267" s="18" t="str">
        <f>IF(ChartTable[[#This Row],[Mudou?]]=1, ChartTable[[#This Row],[Valor Encerrado]]-ChartTable[[#This Row],[Valor Ativo]], "")</f>
        <v/>
      </c>
      <c r="H267" s="11" t="str">
        <f>IF(ChartTable[[#This Row],[Mudou?]]=1, IF(ChartTable[[#This Row],[Diferença]]&gt;0, "aumentou", "diminuiu"), "")</f>
        <v/>
      </c>
      <c r="I267" s="11" t="str" cm="1">
        <f t="array" ref="I267">_xlfn.IFS(ChartTable[[#This Row],[Exluido?]]=1,"Excluido",ChartTable[[#This Row],[Novo?]]=1, "Novo", ChartTable[[#This Row],[Mudou?]]=1, "Mudou")</f>
        <v>Novo</v>
      </c>
    </row>
    <row r="268" spans="1:9" x14ac:dyDescent="0.25">
      <c r="A268" t="s">
        <v>277</v>
      </c>
      <c r="B268" s="10">
        <v>11994.079563754722</v>
      </c>
      <c r="C268" s="10"/>
      <c r="D268" s="11">
        <f>IF(AND(ChartTable[[#This Row],[Valor Encerrado]]=0, ChartTable[[#This Row],[Valor Ativo]]=""), 1, 0)</f>
        <v>0</v>
      </c>
      <c r="E268" s="11">
        <f>IF(AND(ChartTable[[#This Row],[Valor Ativo]]&lt;&gt;"", ChartTable[[#This Row],[Valor Encerrado]]=""), 1, 0)</f>
        <v>1</v>
      </c>
      <c r="F268" s="11">
        <f>IF(AND(ChartTable[[#This Row],[Novo?]]=0, ChartTable[[#This Row],[Valor Ativo]]&lt;&gt;ChartTable[[#This Row],[Valor Encerrado]]), 1, 0)</f>
        <v>0</v>
      </c>
      <c r="G268" s="18" t="str">
        <f>IF(ChartTable[[#This Row],[Mudou?]]=1, ChartTable[[#This Row],[Valor Encerrado]]-ChartTable[[#This Row],[Valor Ativo]], "")</f>
        <v/>
      </c>
      <c r="H268" s="11" t="str">
        <f>IF(ChartTable[[#This Row],[Mudou?]]=1, IF(ChartTable[[#This Row],[Diferença]]&gt;0, "aumentou", "diminuiu"), "")</f>
        <v/>
      </c>
      <c r="I268" s="11" t="str" cm="1">
        <f t="array" ref="I268">_xlfn.IFS(ChartTable[[#This Row],[Exluido?]]=1,"Excluido",ChartTable[[#This Row],[Novo?]]=1, "Novo", ChartTable[[#This Row],[Mudou?]]=1, "Mudou")</f>
        <v>Novo</v>
      </c>
    </row>
    <row r="269" spans="1:9" x14ac:dyDescent="0.25">
      <c r="A269" t="s">
        <v>278</v>
      </c>
      <c r="B269" s="10">
        <v>11994.079563754722</v>
      </c>
      <c r="C269" s="10"/>
      <c r="D269" s="11">
        <f>IF(AND(ChartTable[[#This Row],[Valor Encerrado]]=0, ChartTable[[#This Row],[Valor Ativo]]=""), 1, 0)</f>
        <v>0</v>
      </c>
      <c r="E269" s="11">
        <f>IF(AND(ChartTable[[#This Row],[Valor Ativo]]&lt;&gt;"", ChartTable[[#This Row],[Valor Encerrado]]=""), 1, 0)</f>
        <v>1</v>
      </c>
      <c r="F269" s="11">
        <f>IF(AND(ChartTable[[#This Row],[Novo?]]=0, ChartTable[[#This Row],[Valor Ativo]]&lt;&gt;ChartTable[[#This Row],[Valor Encerrado]]), 1, 0)</f>
        <v>0</v>
      </c>
      <c r="G269" s="18" t="str">
        <f>IF(ChartTable[[#This Row],[Mudou?]]=1, ChartTable[[#This Row],[Valor Encerrado]]-ChartTable[[#This Row],[Valor Ativo]], "")</f>
        <v/>
      </c>
      <c r="H269" s="11" t="str">
        <f>IF(ChartTable[[#This Row],[Mudou?]]=1, IF(ChartTable[[#This Row],[Diferença]]&gt;0, "aumentou", "diminuiu"), "")</f>
        <v/>
      </c>
      <c r="I269" s="11" t="str" cm="1">
        <f t="array" ref="I269">_xlfn.IFS(ChartTable[[#This Row],[Exluido?]]=1,"Excluido",ChartTable[[#This Row],[Novo?]]=1, "Novo", ChartTable[[#This Row],[Mudou?]]=1, "Mudou")</f>
        <v>Novo</v>
      </c>
    </row>
    <row r="270" spans="1:9" x14ac:dyDescent="0.25">
      <c r="A270" t="s">
        <v>279</v>
      </c>
      <c r="B270" s="10">
        <v>11994.079563754722</v>
      </c>
      <c r="C270" s="10"/>
      <c r="D270" s="11">
        <f>IF(AND(ChartTable[[#This Row],[Valor Encerrado]]=0, ChartTable[[#This Row],[Valor Ativo]]=""), 1, 0)</f>
        <v>0</v>
      </c>
      <c r="E270" s="11">
        <f>IF(AND(ChartTable[[#This Row],[Valor Ativo]]&lt;&gt;"", ChartTable[[#This Row],[Valor Encerrado]]=""), 1, 0)</f>
        <v>1</v>
      </c>
      <c r="F270" s="11">
        <f>IF(AND(ChartTable[[#This Row],[Novo?]]=0, ChartTable[[#This Row],[Valor Ativo]]&lt;&gt;ChartTable[[#This Row],[Valor Encerrado]]), 1, 0)</f>
        <v>0</v>
      </c>
      <c r="G270" s="18" t="str">
        <f>IF(ChartTable[[#This Row],[Mudou?]]=1, ChartTable[[#This Row],[Valor Encerrado]]-ChartTable[[#This Row],[Valor Ativo]], "")</f>
        <v/>
      </c>
      <c r="H270" s="11" t="str">
        <f>IF(ChartTable[[#This Row],[Mudou?]]=1, IF(ChartTable[[#This Row],[Diferença]]&gt;0, "aumentou", "diminuiu"), "")</f>
        <v/>
      </c>
      <c r="I270" s="11" t="str" cm="1">
        <f t="array" ref="I270">_xlfn.IFS(ChartTable[[#This Row],[Exluido?]]=1,"Excluido",ChartTable[[#This Row],[Novo?]]=1, "Novo", ChartTable[[#This Row],[Mudou?]]=1, "Mudou")</f>
        <v>Novo</v>
      </c>
    </row>
    <row r="271" spans="1:9" x14ac:dyDescent="0.25">
      <c r="A271" t="s">
        <v>280</v>
      </c>
      <c r="B271" s="10">
        <v>11994.079563754722</v>
      </c>
      <c r="C271" s="10"/>
      <c r="D271" s="11">
        <f>IF(AND(ChartTable[[#This Row],[Valor Encerrado]]=0, ChartTable[[#This Row],[Valor Ativo]]=""), 1, 0)</f>
        <v>0</v>
      </c>
      <c r="E271" s="11">
        <f>IF(AND(ChartTable[[#This Row],[Valor Ativo]]&lt;&gt;"", ChartTable[[#This Row],[Valor Encerrado]]=""), 1, 0)</f>
        <v>1</v>
      </c>
      <c r="F271" s="11">
        <f>IF(AND(ChartTable[[#This Row],[Novo?]]=0, ChartTable[[#This Row],[Valor Ativo]]&lt;&gt;ChartTable[[#This Row],[Valor Encerrado]]), 1, 0)</f>
        <v>0</v>
      </c>
      <c r="G271" s="18" t="str">
        <f>IF(ChartTable[[#This Row],[Mudou?]]=1, ChartTable[[#This Row],[Valor Encerrado]]-ChartTable[[#This Row],[Valor Ativo]], "")</f>
        <v/>
      </c>
      <c r="H271" s="11" t="str">
        <f>IF(ChartTable[[#This Row],[Mudou?]]=1, IF(ChartTable[[#This Row],[Diferença]]&gt;0, "aumentou", "diminuiu"), "")</f>
        <v/>
      </c>
      <c r="I271" s="11" t="str" cm="1">
        <f t="array" ref="I271">_xlfn.IFS(ChartTable[[#This Row],[Exluido?]]=1,"Excluido",ChartTable[[#This Row],[Novo?]]=1, "Novo", ChartTable[[#This Row],[Mudou?]]=1, "Mudou")</f>
        <v>Novo</v>
      </c>
    </row>
    <row r="272" spans="1:9" x14ac:dyDescent="0.25">
      <c r="A272" t="s">
        <v>281</v>
      </c>
      <c r="B272" s="10">
        <v>11994.079563754722</v>
      </c>
      <c r="C272" s="10"/>
      <c r="D272" s="11">
        <f>IF(AND(ChartTable[[#This Row],[Valor Encerrado]]=0, ChartTable[[#This Row],[Valor Ativo]]=""), 1, 0)</f>
        <v>0</v>
      </c>
      <c r="E272" s="11">
        <f>IF(AND(ChartTable[[#This Row],[Valor Ativo]]&lt;&gt;"", ChartTable[[#This Row],[Valor Encerrado]]=""), 1, 0)</f>
        <v>1</v>
      </c>
      <c r="F272" s="11">
        <f>IF(AND(ChartTable[[#This Row],[Novo?]]=0, ChartTable[[#This Row],[Valor Ativo]]&lt;&gt;ChartTable[[#This Row],[Valor Encerrado]]), 1, 0)</f>
        <v>0</v>
      </c>
      <c r="G272" s="18" t="str">
        <f>IF(ChartTable[[#This Row],[Mudou?]]=1, ChartTable[[#This Row],[Valor Encerrado]]-ChartTable[[#This Row],[Valor Ativo]], "")</f>
        <v/>
      </c>
      <c r="H272" s="11" t="str">
        <f>IF(ChartTable[[#This Row],[Mudou?]]=1, IF(ChartTable[[#This Row],[Diferença]]&gt;0, "aumentou", "diminuiu"), "")</f>
        <v/>
      </c>
      <c r="I272" s="11" t="str" cm="1">
        <f t="array" ref="I272">_xlfn.IFS(ChartTable[[#This Row],[Exluido?]]=1,"Excluido",ChartTable[[#This Row],[Novo?]]=1, "Novo", ChartTable[[#This Row],[Mudou?]]=1, "Mudou")</f>
        <v>Novo</v>
      </c>
    </row>
    <row r="273" spans="1:9" x14ac:dyDescent="0.25">
      <c r="A273" t="s">
        <v>282</v>
      </c>
      <c r="B273" s="10">
        <v>11994.079563754722</v>
      </c>
      <c r="C273" s="10"/>
      <c r="D273" s="11">
        <f>IF(AND(ChartTable[[#This Row],[Valor Encerrado]]=0, ChartTable[[#This Row],[Valor Ativo]]=""), 1, 0)</f>
        <v>0</v>
      </c>
      <c r="E273" s="11">
        <f>IF(AND(ChartTable[[#This Row],[Valor Ativo]]&lt;&gt;"", ChartTable[[#This Row],[Valor Encerrado]]=""), 1, 0)</f>
        <v>1</v>
      </c>
      <c r="F273" s="11">
        <f>IF(AND(ChartTable[[#This Row],[Novo?]]=0, ChartTable[[#This Row],[Valor Ativo]]&lt;&gt;ChartTable[[#This Row],[Valor Encerrado]]), 1, 0)</f>
        <v>0</v>
      </c>
      <c r="G273" s="18" t="str">
        <f>IF(ChartTable[[#This Row],[Mudou?]]=1, ChartTable[[#This Row],[Valor Encerrado]]-ChartTable[[#This Row],[Valor Ativo]], "")</f>
        <v/>
      </c>
      <c r="H273" s="11" t="str">
        <f>IF(ChartTable[[#This Row],[Mudou?]]=1, IF(ChartTable[[#This Row],[Diferença]]&gt;0, "aumentou", "diminuiu"), "")</f>
        <v/>
      </c>
      <c r="I273" s="11" t="str" cm="1">
        <f t="array" ref="I273">_xlfn.IFS(ChartTable[[#This Row],[Exluido?]]=1,"Excluido",ChartTable[[#This Row],[Novo?]]=1, "Novo", ChartTable[[#This Row],[Mudou?]]=1, "Mudou")</f>
        <v>Novo</v>
      </c>
    </row>
    <row r="274" spans="1:9" x14ac:dyDescent="0.25">
      <c r="A274" t="s">
        <v>283</v>
      </c>
      <c r="B274" s="10">
        <v>11994.079563754722</v>
      </c>
      <c r="C274" s="10"/>
      <c r="D274" s="11">
        <f>IF(AND(ChartTable[[#This Row],[Valor Encerrado]]=0, ChartTable[[#This Row],[Valor Ativo]]=""), 1, 0)</f>
        <v>0</v>
      </c>
      <c r="E274" s="11">
        <f>IF(AND(ChartTable[[#This Row],[Valor Ativo]]&lt;&gt;"", ChartTable[[#This Row],[Valor Encerrado]]=""), 1, 0)</f>
        <v>1</v>
      </c>
      <c r="F274" s="11">
        <f>IF(AND(ChartTable[[#This Row],[Novo?]]=0, ChartTable[[#This Row],[Valor Ativo]]&lt;&gt;ChartTable[[#This Row],[Valor Encerrado]]), 1, 0)</f>
        <v>0</v>
      </c>
      <c r="G274" s="18" t="str">
        <f>IF(ChartTable[[#This Row],[Mudou?]]=1, ChartTable[[#This Row],[Valor Encerrado]]-ChartTable[[#This Row],[Valor Ativo]], "")</f>
        <v/>
      </c>
      <c r="H274" s="11" t="str">
        <f>IF(ChartTable[[#This Row],[Mudou?]]=1, IF(ChartTable[[#This Row],[Diferença]]&gt;0, "aumentou", "diminuiu"), "")</f>
        <v/>
      </c>
      <c r="I274" s="11" t="str" cm="1">
        <f t="array" ref="I274">_xlfn.IFS(ChartTable[[#This Row],[Exluido?]]=1,"Excluido",ChartTable[[#This Row],[Novo?]]=1, "Novo", ChartTable[[#This Row],[Mudou?]]=1, "Mudou")</f>
        <v>Novo</v>
      </c>
    </row>
    <row r="275" spans="1:9" x14ac:dyDescent="0.25">
      <c r="A275" t="s">
        <v>284</v>
      </c>
      <c r="B275" s="10">
        <v>11994.079563754722</v>
      </c>
      <c r="C275" s="10"/>
      <c r="D275" s="11">
        <f>IF(AND(ChartTable[[#This Row],[Valor Encerrado]]=0, ChartTable[[#This Row],[Valor Ativo]]=""), 1, 0)</f>
        <v>0</v>
      </c>
      <c r="E275" s="11">
        <f>IF(AND(ChartTable[[#This Row],[Valor Ativo]]&lt;&gt;"", ChartTable[[#This Row],[Valor Encerrado]]=""), 1, 0)</f>
        <v>1</v>
      </c>
      <c r="F275" s="11">
        <f>IF(AND(ChartTable[[#This Row],[Novo?]]=0, ChartTable[[#This Row],[Valor Ativo]]&lt;&gt;ChartTable[[#This Row],[Valor Encerrado]]), 1, 0)</f>
        <v>0</v>
      </c>
      <c r="G275" s="18" t="str">
        <f>IF(ChartTable[[#This Row],[Mudou?]]=1, ChartTable[[#This Row],[Valor Encerrado]]-ChartTable[[#This Row],[Valor Ativo]], "")</f>
        <v/>
      </c>
      <c r="H275" s="11" t="str">
        <f>IF(ChartTable[[#This Row],[Mudou?]]=1, IF(ChartTable[[#This Row],[Diferença]]&gt;0, "aumentou", "diminuiu"), "")</f>
        <v/>
      </c>
      <c r="I275" s="11" t="str" cm="1">
        <f t="array" ref="I275">_xlfn.IFS(ChartTable[[#This Row],[Exluido?]]=1,"Excluido",ChartTable[[#This Row],[Novo?]]=1, "Novo", ChartTable[[#This Row],[Mudou?]]=1, "Mudou")</f>
        <v>Novo</v>
      </c>
    </row>
    <row r="276" spans="1:9" x14ac:dyDescent="0.25">
      <c r="A276" t="s">
        <v>285</v>
      </c>
      <c r="B276" s="10">
        <v>11994.079563754722</v>
      </c>
      <c r="C276" s="10"/>
      <c r="D276" s="11">
        <f>IF(AND(ChartTable[[#This Row],[Valor Encerrado]]=0, ChartTable[[#This Row],[Valor Ativo]]=""), 1, 0)</f>
        <v>0</v>
      </c>
      <c r="E276" s="11">
        <f>IF(AND(ChartTable[[#This Row],[Valor Ativo]]&lt;&gt;"", ChartTable[[#This Row],[Valor Encerrado]]=""), 1, 0)</f>
        <v>1</v>
      </c>
      <c r="F276" s="11">
        <f>IF(AND(ChartTable[[#This Row],[Novo?]]=0, ChartTable[[#This Row],[Valor Ativo]]&lt;&gt;ChartTable[[#This Row],[Valor Encerrado]]), 1, 0)</f>
        <v>0</v>
      </c>
      <c r="G276" s="18" t="str">
        <f>IF(ChartTable[[#This Row],[Mudou?]]=1, ChartTable[[#This Row],[Valor Encerrado]]-ChartTable[[#This Row],[Valor Ativo]], "")</f>
        <v/>
      </c>
      <c r="H276" s="11" t="str">
        <f>IF(ChartTable[[#This Row],[Mudou?]]=1, IF(ChartTable[[#This Row],[Diferença]]&gt;0, "aumentou", "diminuiu"), "")</f>
        <v/>
      </c>
      <c r="I276" s="11" t="str" cm="1">
        <f t="array" ref="I276">_xlfn.IFS(ChartTable[[#This Row],[Exluido?]]=1,"Excluido",ChartTable[[#This Row],[Novo?]]=1, "Novo", ChartTable[[#This Row],[Mudou?]]=1, "Mudou")</f>
        <v>Novo</v>
      </c>
    </row>
    <row r="277" spans="1:9" x14ac:dyDescent="0.25">
      <c r="A277" t="s">
        <v>286</v>
      </c>
      <c r="B277" s="10">
        <v>11994.079563754722</v>
      </c>
      <c r="C277" s="10"/>
      <c r="D277" s="11">
        <f>IF(AND(ChartTable[[#This Row],[Valor Encerrado]]=0, ChartTable[[#This Row],[Valor Ativo]]=""), 1, 0)</f>
        <v>0</v>
      </c>
      <c r="E277" s="11">
        <f>IF(AND(ChartTable[[#This Row],[Valor Ativo]]&lt;&gt;"", ChartTable[[#This Row],[Valor Encerrado]]=""), 1, 0)</f>
        <v>1</v>
      </c>
      <c r="F277" s="11">
        <f>IF(AND(ChartTable[[#This Row],[Novo?]]=0, ChartTable[[#This Row],[Valor Ativo]]&lt;&gt;ChartTable[[#This Row],[Valor Encerrado]]), 1, 0)</f>
        <v>0</v>
      </c>
      <c r="G277" s="18" t="str">
        <f>IF(ChartTable[[#This Row],[Mudou?]]=1, ChartTable[[#This Row],[Valor Encerrado]]-ChartTable[[#This Row],[Valor Ativo]], "")</f>
        <v/>
      </c>
      <c r="H277" s="11" t="str">
        <f>IF(ChartTable[[#This Row],[Mudou?]]=1, IF(ChartTable[[#This Row],[Diferença]]&gt;0, "aumentou", "diminuiu"), "")</f>
        <v/>
      </c>
      <c r="I277" s="11" t="str" cm="1">
        <f t="array" ref="I277">_xlfn.IFS(ChartTable[[#This Row],[Exluido?]]=1,"Excluido",ChartTable[[#This Row],[Novo?]]=1, "Novo", ChartTable[[#This Row],[Mudou?]]=1, "Mudou")</f>
        <v>Novo</v>
      </c>
    </row>
    <row r="278" spans="1:9" x14ac:dyDescent="0.25">
      <c r="A278" t="s">
        <v>287</v>
      </c>
      <c r="B278" s="10">
        <v>11994.079563754722</v>
      </c>
      <c r="C278" s="10"/>
      <c r="D278" s="11">
        <f>IF(AND(ChartTable[[#This Row],[Valor Encerrado]]=0, ChartTable[[#This Row],[Valor Ativo]]=""), 1, 0)</f>
        <v>0</v>
      </c>
      <c r="E278" s="11">
        <f>IF(AND(ChartTable[[#This Row],[Valor Ativo]]&lt;&gt;"", ChartTable[[#This Row],[Valor Encerrado]]=""), 1, 0)</f>
        <v>1</v>
      </c>
      <c r="F278" s="11">
        <f>IF(AND(ChartTable[[#This Row],[Novo?]]=0, ChartTable[[#This Row],[Valor Ativo]]&lt;&gt;ChartTable[[#This Row],[Valor Encerrado]]), 1, 0)</f>
        <v>0</v>
      </c>
      <c r="G278" s="18" t="str">
        <f>IF(ChartTable[[#This Row],[Mudou?]]=1, ChartTable[[#This Row],[Valor Encerrado]]-ChartTable[[#This Row],[Valor Ativo]], "")</f>
        <v/>
      </c>
      <c r="H278" s="11" t="str">
        <f>IF(ChartTable[[#This Row],[Mudou?]]=1, IF(ChartTable[[#This Row],[Diferença]]&gt;0, "aumentou", "diminuiu"), "")</f>
        <v/>
      </c>
      <c r="I278" s="11" t="str" cm="1">
        <f t="array" ref="I278">_xlfn.IFS(ChartTable[[#This Row],[Exluido?]]=1,"Excluido",ChartTable[[#This Row],[Novo?]]=1, "Novo", ChartTable[[#This Row],[Mudou?]]=1, "Mudou")</f>
        <v>Novo</v>
      </c>
    </row>
    <row r="279" spans="1:9" x14ac:dyDescent="0.25">
      <c r="A279" t="s">
        <v>288</v>
      </c>
      <c r="B279" s="10">
        <v>11994.079563754722</v>
      </c>
      <c r="C279" s="10"/>
      <c r="D279" s="11">
        <f>IF(AND(ChartTable[[#This Row],[Valor Encerrado]]=0, ChartTable[[#This Row],[Valor Ativo]]=""), 1, 0)</f>
        <v>0</v>
      </c>
      <c r="E279" s="11">
        <f>IF(AND(ChartTable[[#This Row],[Valor Ativo]]&lt;&gt;"", ChartTable[[#This Row],[Valor Encerrado]]=""), 1, 0)</f>
        <v>1</v>
      </c>
      <c r="F279" s="11">
        <f>IF(AND(ChartTable[[#This Row],[Novo?]]=0, ChartTable[[#This Row],[Valor Ativo]]&lt;&gt;ChartTable[[#This Row],[Valor Encerrado]]), 1, 0)</f>
        <v>0</v>
      </c>
      <c r="G279" s="18" t="str">
        <f>IF(ChartTable[[#This Row],[Mudou?]]=1, ChartTable[[#This Row],[Valor Encerrado]]-ChartTable[[#This Row],[Valor Ativo]], "")</f>
        <v/>
      </c>
      <c r="H279" s="11" t="str">
        <f>IF(ChartTable[[#This Row],[Mudou?]]=1, IF(ChartTable[[#This Row],[Diferença]]&gt;0, "aumentou", "diminuiu"), "")</f>
        <v/>
      </c>
      <c r="I279" s="11" t="str" cm="1">
        <f t="array" ref="I279">_xlfn.IFS(ChartTable[[#This Row],[Exluido?]]=1,"Excluido",ChartTable[[#This Row],[Novo?]]=1, "Novo", ChartTable[[#This Row],[Mudou?]]=1, "Mudou")</f>
        <v>Novo</v>
      </c>
    </row>
    <row r="280" spans="1:9" x14ac:dyDescent="0.25">
      <c r="A280" t="s">
        <v>289</v>
      </c>
      <c r="B280" s="10">
        <v>11994.079563754722</v>
      </c>
      <c r="C280" s="10"/>
      <c r="D280" s="11">
        <f>IF(AND(ChartTable[[#This Row],[Valor Encerrado]]=0, ChartTable[[#This Row],[Valor Ativo]]=""), 1, 0)</f>
        <v>0</v>
      </c>
      <c r="E280" s="11">
        <f>IF(AND(ChartTable[[#This Row],[Valor Ativo]]&lt;&gt;"", ChartTable[[#This Row],[Valor Encerrado]]=""), 1, 0)</f>
        <v>1</v>
      </c>
      <c r="F280" s="11">
        <f>IF(AND(ChartTable[[#This Row],[Novo?]]=0, ChartTable[[#This Row],[Valor Ativo]]&lt;&gt;ChartTable[[#This Row],[Valor Encerrado]]), 1, 0)</f>
        <v>0</v>
      </c>
      <c r="G280" s="18" t="str">
        <f>IF(ChartTable[[#This Row],[Mudou?]]=1, ChartTable[[#This Row],[Valor Encerrado]]-ChartTable[[#This Row],[Valor Ativo]], "")</f>
        <v/>
      </c>
      <c r="H280" s="11" t="str">
        <f>IF(ChartTable[[#This Row],[Mudou?]]=1, IF(ChartTable[[#This Row],[Diferença]]&gt;0, "aumentou", "diminuiu"), "")</f>
        <v/>
      </c>
      <c r="I280" s="11" t="str" cm="1">
        <f t="array" ref="I280">_xlfn.IFS(ChartTable[[#This Row],[Exluido?]]=1,"Excluido",ChartTable[[#This Row],[Novo?]]=1, "Novo", ChartTable[[#This Row],[Mudou?]]=1, "Mudou")</f>
        <v>Novo</v>
      </c>
    </row>
    <row r="281" spans="1:9" x14ac:dyDescent="0.25">
      <c r="A281" t="s">
        <v>290</v>
      </c>
      <c r="B281" s="10">
        <v>11994.079563754722</v>
      </c>
      <c r="C281" s="10"/>
      <c r="D281" s="11">
        <f>IF(AND(ChartTable[[#This Row],[Valor Encerrado]]=0, ChartTable[[#This Row],[Valor Ativo]]=""), 1, 0)</f>
        <v>0</v>
      </c>
      <c r="E281" s="11">
        <f>IF(AND(ChartTable[[#This Row],[Valor Ativo]]&lt;&gt;"", ChartTable[[#This Row],[Valor Encerrado]]=""), 1, 0)</f>
        <v>1</v>
      </c>
      <c r="F281" s="11">
        <f>IF(AND(ChartTable[[#This Row],[Novo?]]=0, ChartTable[[#This Row],[Valor Ativo]]&lt;&gt;ChartTable[[#This Row],[Valor Encerrado]]), 1, 0)</f>
        <v>0</v>
      </c>
      <c r="G281" s="18" t="str">
        <f>IF(ChartTable[[#This Row],[Mudou?]]=1, ChartTable[[#This Row],[Valor Encerrado]]-ChartTable[[#This Row],[Valor Ativo]], "")</f>
        <v/>
      </c>
      <c r="H281" s="11" t="str">
        <f>IF(ChartTable[[#This Row],[Mudou?]]=1, IF(ChartTable[[#This Row],[Diferença]]&gt;0, "aumentou", "diminuiu"), "")</f>
        <v/>
      </c>
      <c r="I281" s="11" t="str" cm="1">
        <f t="array" ref="I281">_xlfn.IFS(ChartTable[[#This Row],[Exluido?]]=1,"Excluido",ChartTable[[#This Row],[Novo?]]=1, "Novo", ChartTable[[#This Row],[Mudou?]]=1, "Mudou")</f>
        <v>Novo</v>
      </c>
    </row>
    <row r="282" spans="1:9" x14ac:dyDescent="0.25">
      <c r="A282" t="s">
        <v>291</v>
      </c>
      <c r="B282" s="10">
        <v>11994.079563754722</v>
      </c>
      <c r="C282" s="10"/>
      <c r="D282" s="11">
        <f>IF(AND(ChartTable[[#This Row],[Valor Encerrado]]=0, ChartTable[[#This Row],[Valor Ativo]]=""), 1, 0)</f>
        <v>0</v>
      </c>
      <c r="E282" s="11">
        <f>IF(AND(ChartTable[[#This Row],[Valor Ativo]]&lt;&gt;"", ChartTable[[#This Row],[Valor Encerrado]]=""), 1, 0)</f>
        <v>1</v>
      </c>
      <c r="F282" s="11">
        <f>IF(AND(ChartTable[[#This Row],[Novo?]]=0, ChartTable[[#This Row],[Valor Ativo]]&lt;&gt;ChartTable[[#This Row],[Valor Encerrado]]), 1, 0)</f>
        <v>0</v>
      </c>
      <c r="G282" s="18" t="str">
        <f>IF(ChartTable[[#This Row],[Mudou?]]=1, ChartTable[[#This Row],[Valor Encerrado]]-ChartTable[[#This Row],[Valor Ativo]], "")</f>
        <v/>
      </c>
      <c r="H282" s="11" t="str">
        <f>IF(ChartTable[[#This Row],[Mudou?]]=1, IF(ChartTable[[#This Row],[Diferença]]&gt;0, "aumentou", "diminuiu"), "")</f>
        <v/>
      </c>
      <c r="I282" s="11" t="str" cm="1">
        <f t="array" ref="I282">_xlfn.IFS(ChartTable[[#This Row],[Exluido?]]=1,"Excluido",ChartTable[[#This Row],[Novo?]]=1, "Novo", ChartTable[[#This Row],[Mudou?]]=1, "Mudou")</f>
        <v>Novo</v>
      </c>
    </row>
    <row r="283" spans="1:9" x14ac:dyDescent="0.25">
      <c r="A283" t="s">
        <v>292</v>
      </c>
      <c r="B283" s="10">
        <v>11994.079563754722</v>
      </c>
      <c r="C283" s="10"/>
      <c r="D283" s="11">
        <f>IF(AND(ChartTable[[#This Row],[Valor Encerrado]]=0, ChartTable[[#This Row],[Valor Ativo]]=""), 1, 0)</f>
        <v>0</v>
      </c>
      <c r="E283" s="11">
        <f>IF(AND(ChartTable[[#This Row],[Valor Ativo]]&lt;&gt;"", ChartTable[[#This Row],[Valor Encerrado]]=""), 1, 0)</f>
        <v>1</v>
      </c>
      <c r="F283" s="11">
        <f>IF(AND(ChartTable[[#This Row],[Novo?]]=0, ChartTable[[#This Row],[Valor Ativo]]&lt;&gt;ChartTable[[#This Row],[Valor Encerrado]]), 1, 0)</f>
        <v>0</v>
      </c>
      <c r="G283" s="18" t="str">
        <f>IF(ChartTable[[#This Row],[Mudou?]]=1, ChartTable[[#This Row],[Valor Encerrado]]-ChartTable[[#This Row],[Valor Ativo]], "")</f>
        <v/>
      </c>
      <c r="H283" s="11" t="str">
        <f>IF(ChartTable[[#This Row],[Mudou?]]=1, IF(ChartTable[[#This Row],[Diferença]]&gt;0, "aumentou", "diminuiu"), "")</f>
        <v/>
      </c>
      <c r="I283" s="11" t="str" cm="1">
        <f t="array" ref="I283">_xlfn.IFS(ChartTable[[#This Row],[Exluido?]]=1,"Excluido",ChartTable[[#This Row],[Novo?]]=1, "Novo", ChartTable[[#This Row],[Mudou?]]=1, "Mudou")</f>
        <v>Novo</v>
      </c>
    </row>
    <row r="284" spans="1:9" x14ac:dyDescent="0.25">
      <c r="A284" t="s">
        <v>293</v>
      </c>
      <c r="B284" s="10">
        <v>11994.079563754722</v>
      </c>
      <c r="C284" s="10"/>
      <c r="D284" s="11">
        <f>IF(AND(ChartTable[[#This Row],[Valor Encerrado]]=0, ChartTable[[#This Row],[Valor Ativo]]=""), 1, 0)</f>
        <v>0</v>
      </c>
      <c r="E284" s="11">
        <f>IF(AND(ChartTable[[#This Row],[Valor Ativo]]&lt;&gt;"", ChartTable[[#This Row],[Valor Encerrado]]=""), 1, 0)</f>
        <v>1</v>
      </c>
      <c r="F284" s="11">
        <f>IF(AND(ChartTable[[#This Row],[Novo?]]=0, ChartTable[[#This Row],[Valor Ativo]]&lt;&gt;ChartTable[[#This Row],[Valor Encerrado]]), 1, 0)</f>
        <v>0</v>
      </c>
      <c r="G284" s="18" t="str">
        <f>IF(ChartTable[[#This Row],[Mudou?]]=1, ChartTable[[#This Row],[Valor Encerrado]]-ChartTable[[#This Row],[Valor Ativo]], "")</f>
        <v/>
      </c>
      <c r="H284" s="11" t="str">
        <f>IF(ChartTable[[#This Row],[Mudou?]]=1, IF(ChartTable[[#This Row],[Diferença]]&gt;0, "aumentou", "diminuiu"), "")</f>
        <v/>
      </c>
      <c r="I284" s="11" t="str" cm="1">
        <f t="array" ref="I284">_xlfn.IFS(ChartTable[[#This Row],[Exluido?]]=1,"Excluido",ChartTable[[#This Row],[Novo?]]=1, "Novo", ChartTable[[#This Row],[Mudou?]]=1, "Mudou")</f>
        <v>Novo</v>
      </c>
    </row>
    <row r="285" spans="1:9" x14ac:dyDescent="0.25">
      <c r="A285" t="s">
        <v>294</v>
      </c>
      <c r="B285" s="10">
        <v>11994.079563754722</v>
      </c>
      <c r="C285" s="10"/>
      <c r="D285" s="11">
        <f>IF(AND(ChartTable[[#This Row],[Valor Encerrado]]=0, ChartTable[[#This Row],[Valor Ativo]]=""), 1, 0)</f>
        <v>0</v>
      </c>
      <c r="E285" s="11">
        <f>IF(AND(ChartTable[[#This Row],[Valor Ativo]]&lt;&gt;"", ChartTable[[#This Row],[Valor Encerrado]]=""), 1, 0)</f>
        <v>1</v>
      </c>
      <c r="F285" s="11">
        <f>IF(AND(ChartTable[[#This Row],[Novo?]]=0, ChartTable[[#This Row],[Valor Ativo]]&lt;&gt;ChartTable[[#This Row],[Valor Encerrado]]), 1, 0)</f>
        <v>0</v>
      </c>
      <c r="G285" s="18" t="str">
        <f>IF(ChartTable[[#This Row],[Mudou?]]=1, ChartTable[[#This Row],[Valor Encerrado]]-ChartTable[[#This Row],[Valor Ativo]], "")</f>
        <v/>
      </c>
      <c r="H285" s="11" t="str">
        <f>IF(ChartTable[[#This Row],[Mudou?]]=1, IF(ChartTable[[#This Row],[Diferença]]&gt;0, "aumentou", "diminuiu"), "")</f>
        <v/>
      </c>
      <c r="I285" s="11" t="str" cm="1">
        <f t="array" ref="I285">_xlfn.IFS(ChartTable[[#This Row],[Exluido?]]=1,"Excluido",ChartTable[[#This Row],[Novo?]]=1, "Novo", ChartTable[[#This Row],[Mudou?]]=1, "Mudou")</f>
        <v>Novo</v>
      </c>
    </row>
    <row r="286" spans="1:9" x14ac:dyDescent="0.25">
      <c r="A286" t="s">
        <v>295</v>
      </c>
      <c r="B286" s="10">
        <v>11994.079563754722</v>
      </c>
      <c r="C286" s="10"/>
      <c r="D286" s="11">
        <f>IF(AND(ChartTable[[#This Row],[Valor Encerrado]]=0, ChartTable[[#This Row],[Valor Ativo]]=""), 1, 0)</f>
        <v>0</v>
      </c>
      <c r="E286" s="11">
        <f>IF(AND(ChartTable[[#This Row],[Valor Ativo]]&lt;&gt;"", ChartTable[[#This Row],[Valor Encerrado]]=""), 1, 0)</f>
        <v>1</v>
      </c>
      <c r="F286" s="11">
        <f>IF(AND(ChartTable[[#This Row],[Novo?]]=0, ChartTable[[#This Row],[Valor Ativo]]&lt;&gt;ChartTable[[#This Row],[Valor Encerrado]]), 1, 0)</f>
        <v>0</v>
      </c>
      <c r="G286" s="18" t="str">
        <f>IF(ChartTable[[#This Row],[Mudou?]]=1, ChartTable[[#This Row],[Valor Encerrado]]-ChartTable[[#This Row],[Valor Ativo]], "")</f>
        <v/>
      </c>
      <c r="H286" s="11" t="str">
        <f>IF(ChartTable[[#This Row],[Mudou?]]=1, IF(ChartTable[[#This Row],[Diferença]]&gt;0, "aumentou", "diminuiu"), "")</f>
        <v/>
      </c>
      <c r="I286" s="11" t="str" cm="1">
        <f t="array" ref="I286">_xlfn.IFS(ChartTable[[#This Row],[Exluido?]]=1,"Excluido",ChartTable[[#This Row],[Novo?]]=1, "Novo", ChartTable[[#This Row],[Mudou?]]=1, "Mudou")</f>
        <v>Novo</v>
      </c>
    </row>
    <row r="287" spans="1:9" x14ac:dyDescent="0.25">
      <c r="A287" t="s">
        <v>296</v>
      </c>
      <c r="B287" s="10">
        <v>11994.079563754722</v>
      </c>
      <c r="C287" s="10"/>
      <c r="D287" s="11">
        <f>IF(AND(ChartTable[[#This Row],[Valor Encerrado]]=0, ChartTable[[#This Row],[Valor Ativo]]=""), 1, 0)</f>
        <v>0</v>
      </c>
      <c r="E287" s="11">
        <f>IF(AND(ChartTable[[#This Row],[Valor Ativo]]&lt;&gt;"", ChartTable[[#This Row],[Valor Encerrado]]=""), 1, 0)</f>
        <v>1</v>
      </c>
      <c r="F287" s="11">
        <f>IF(AND(ChartTable[[#This Row],[Novo?]]=0, ChartTable[[#This Row],[Valor Ativo]]&lt;&gt;ChartTable[[#This Row],[Valor Encerrado]]), 1, 0)</f>
        <v>0</v>
      </c>
      <c r="G287" s="18" t="str">
        <f>IF(ChartTable[[#This Row],[Mudou?]]=1, ChartTable[[#This Row],[Valor Encerrado]]-ChartTable[[#This Row],[Valor Ativo]], "")</f>
        <v/>
      </c>
      <c r="H287" s="11" t="str">
        <f>IF(ChartTable[[#This Row],[Mudou?]]=1, IF(ChartTable[[#This Row],[Diferença]]&gt;0, "aumentou", "diminuiu"), "")</f>
        <v/>
      </c>
      <c r="I287" s="11" t="str" cm="1">
        <f t="array" ref="I287">_xlfn.IFS(ChartTable[[#This Row],[Exluido?]]=1,"Excluido",ChartTable[[#This Row],[Novo?]]=1, "Novo", ChartTable[[#This Row],[Mudou?]]=1, "Mudou")</f>
        <v>Novo</v>
      </c>
    </row>
    <row r="288" spans="1:9" x14ac:dyDescent="0.25">
      <c r="A288" t="s">
        <v>297</v>
      </c>
      <c r="B288" s="10">
        <v>11994.079563754722</v>
      </c>
      <c r="C288" s="10"/>
      <c r="D288" s="11">
        <f>IF(AND(ChartTable[[#This Row],[Valor Encerrado]]=0, ChartTable[[#This Row],[Valor Ativo]]=""), 1, 0)</f>
        <v>0</v>
      </c>
      <c r="E288" s="11">
        <f>IF(AND(ChartTable[[#This Row],[Valor Ativo]]&lt;&gt;"", ChartTable[[#This Row],[Valor Encerrado]]=""), 1, 0)</f>
        <v>1</v>
      </c>
      <c r="F288" s="11">
        <f>IF(AND(ChartTable[[#This Row],[Novo?]]=0, ChartTable[[#This Row],[Valor Ativo]]&lt;&gt;ChartTable[[#This Row],[Valor Encerrado]]), 1, 0)</f>
        <v>0</v>
      </c>
      <c r="G288" s="18" t="str">
        <f>IF(ChartTable[[#This Row],[Mudou?]]=1, ChartTable[[#This Row],[Valor Encerrado]]-ChartTable[[#This Row],[Valor Ativo]], "")</f>
        <v/>
      </c>
      <c r="H288" s="11" t="str">
        <f>IF(ChartTable[[#This Row],[Mudou?]]=1, IF(ChartTable[[#This Row],[Diferença]]&gt;0, "aumentou", "diminuiu"), "")</f>
        <v/>
      </c>
      <c r="I288" s="11" t="str" cm="1">
        <f t="array" ref="I288">_xlfn.IFS(ChartTable[[#This Row],[Exluido?]]=1,"Excluido",ChartTable[[#This Row],[Novo?]]=1, "Novo", ChartTable[[#This Row],[Mudou?]]=1, "Mudou")</f>
        <v>Novo</v>
      </c>
    </row>
    <row r="289" spans="1:9" x14ac:dyDescent="0.25">
      <c r="A289" t="s">
        <v>298</v>
      </c>
      <c r="B289" s="10">
        <v>11994.079563754722</v>
      </c>
      <c r="C289" s="10"/>
      <c r="D289" s="11">
        <f>IF(AND(ChartTable[[#This Row],[Valor Encerrado]]=0, ChartTable[[#This Row],[Valor Ativo]]=""), 1, 0)</f>
        <v>0</v>
      </c>
      <c r="E289" s="11">
        <f>IF(AND(ChartTable[[#This Row],[Valor Ativo]]&lt;&gt;"", ChartTable[[#This Row],[Valor Encerrado]]=""), 1, 0)</f>
        <v>1</v>
      </c>
      <c r="F289" s="11">
        <f>IF(AND(ChartTable[[#This Row],[Novo?]]=0, ChartTable[[#This Row],[Valor Ativo]]&lt;&gt;ChartTable[[#This Row],[Valor Encerrado]]), 1, 0)</f>
        <v>0</v>
      </c>
      <c r="G289" s="18" t="str">
        <f>IF(ChartTable[[#This Row],[Mudou?]]=1, ChartTable[[#This Row],[Valor Encerrado]]-ChartTable[[#This Row],[Valor Ativo]], "")</f>
        <v/>
      </c>
      <c r="H289" s="11" t="str">
        <f>IF(ChartTable[[#This Row],[Mudou?]]=1, IF(ChartTable[[#This Row],[Diferença]]&gt;0, "aumentou", "diminuiu"), "")</f>
        <v/>
      </c>
      <c r="I289" s="11" t="str" cm="1">
        <f t="array" ref="I289">_xlfn.IFS(ChartTable[[#This Row],[Exluido?]]=1,"Excluido",ChartTable[[#This Row],[Novo?]]=1, "Novo", ChartTable[[#This Row],[Mudou?]]=1, "Mudou")</f>
        <v>Novo</v>
      </c>
    </row>
    <row r="290" spans="1:9" x14ac:dyDescent="0.25">
      <c r="A290" t="s">
        <v>299</v>
      </c>
      <c r="B290" s="10">
        <v>11994.079563754722</v>
      </c>
      <c r="C290" s="10"/>
      <c r="D290" s="11">
        <f>IF(AND(ChartTable[[#This Row],[Valor Encerrado]]=0, ChartTable[[#This Row],[Valor Ativo]]=""), 1, 0)</f>
        <v>0</v>
      </c>
      <c r="E290" s="11">
        <f>IF(AND(ChartTable[[#This Row],[Valor Ativo]]&lt;&gt;"", ChartTable[[#This Row],[Valor Encerrado]]=""), 1, 0)</f>
        <v>1</v>
      </c>
      <c r="F290" s="11">
        <f>IF(AND(ChartTable[[#This Row],[Novo?]]=0, ChartTable[[#This Row],[Valor Ativo]]&lt;&gt;ChartTable[[#This Row],[Valor Encerrado]]), 1, 0)</f>
        <v>0</v>
      </c>
      <c r="G290" s="18" t="str">
        <f>IF(ChartTable[[#This Row],[Mudou?]]=1, ChartTable[[#This Row],[Valor Encerrado]]-ChartTable[[#This Row],[Valor Ativo]], "")</f>
        <v/>
      </c>
      <c r="H290" s="11" t="str">
        <f>IF(ChartTable[[#This Row],[Mudou?]]=1, IF(ChartTable[[#This Row],[Diferença]]&gt;0, "aumentou", "diminuiu"), "")</f>
        <v/>
      </c>
      <c r="I290" s="11" t="str" cm="1">
        <f t="array" ref="I290">_xlfn.IFS(ChartTable[[#This Row],[Exluido?]]=1,"Excluido",ChartTable[[#This Row],[Novo?]]=1, "Novo", ChartTable[[#This Row],[Mudou?]]=1, "Mudou")</f>
        <v>Novo</v>
      </c>
    </row>
    <row r="291" spans="1:9" x14ac:dyDescent="0.25">
      <c r="A291" t="s">
        <v>300</v>
      </c>
      <c r="B291" s="10">
        <v>11994.079563754722</v>
      </c>
      <c r="C291" s="10"/>
      <c r="D291" s="11">
        <f>IF(AND(ChartTable[[#This Row],[Valor Encerrado]]=0, ChartTable[[#This Row],[Valor Ativo]]=""), 1, 0)</f>
        <v>0</v>
      </c>
      <c r="E291" s="11">
        <f>IF(AND(ChartTable[[#This Row],[Valor Ativo]]&lt;&gt;"", ChartTable[[#This Row],[Valor Encerrado]]=""), 1, 0)</f>
        <v>1</v>
      </c>
      <c r="F291" s="11">
        <f>IF(AND(ChartTable[[#This Row],[Novo?]]=0, ChartTable[[#This Row],[Valor Ativo]]&lt;&gt;ChartTable[[#This Row],[Valor Encerrado]]), 1, 0)</f>
        <v>0</v>
      </c>
      <c r="G291" s="18" t="str">
        <f>IF(ChartTable[[#This Row],[Mudou?]]=1, ChartTable[[#This Row],[Valor Encerrado]]-ChartTable[[#This Row],[Valor Ativo]], "")</f>
        <v/>
      </c>
      <c r="H291" s="11" t="str">
        <f>IF(ChartTable[[#This Row],[Mudou?]]=1, IF(ChartTable[[#This Row],[Diferença]]&gt;0, "aumentou", "diminuiu"), "")</f>
        <v/>
      </c>
      <c r="I291" s="11" t="str" cm="1">
        <f t="array" ref="I291">_xlfn.IFS(ChartTable[[#This Row],[Exluido?]]=1,"Excluido",ChartTable[[#This Row],[Novo?]]=1, "Novo", ChartTable[[#This Row],[Mudou?]]=1, "Mudou")</f>
        <v>Novo</v>
      </c>
    </row>
    <row r="292" spans="1:9" x14ac:dyDescent="0.25">
      <c r="A292" t="s">
        <v>301</v>
      </c>
      <c r="B292" s="10">
        <v>11994.079563754722</v>
      </c>
      <c r="C292" s="10"/>
      <c r="D292" s="11">
        <f>IF(AND(ChartTable[[#This Row],[Valor Encerrado]]=0, ChartTable[[#This Row],[Valor Ativo]]=""), 1, 0)</f>
        <v>0</v>
      </c>
      <c r="E292" s="11">
        <f>IF(AND(ChartTable[[#This Row],[Valor Ativo]]&lt;&gt;"", ChartTable[[#This Row],[Valor Encerrado]]=""), 1, 0)</f>
        <v>1</v>
      </c>
      <c r="F292" s="11">
        <f>IF(AND(ChartTable[[#This Row],[Novo?]]=0, ChartTable[[#This Row],[Valor Ativo]]&lt;&gt;ChartTable[[#This Row],[Valor Encerrado]]), 1, 0)</f>
        <v>0</v>
      </c>
      <c r="G292" s="18" t="str">
        <f>IF(ChartTable[[#This Row],[Mudou?]]=1, ChartTable[[#This Row],[Valor Encerrado]]-ChartTable[[#This Row],[Valor Ativo]], "")</f>
        <v/>
      </c>
      <c r="H292" s="11" t="str">
        <f>IF(ChartTable[[#This Row],[Mudou?]]=1, IF(ChartTable[[#This Row],[Diferença]]&gt;0, "aumentou", "diminuiu"), "")</f>
        <v/>
      </c>
      <c r="I292" s="11" t="str" cm="1">
        <f t="array" ref="I292">_xlfn.IFS(ChartTable[[#This Row],[Exluido?]]=1,"Excluido",ChartTable[[#This Row],[Novo?]]=1, "Novo", ChartTable[[#This Row],[Mudou?]]=1, "Mudou")</f>
        <v>Novo</v>
      </c>
    </row>
    <row r="293" spans="1:9" x14ac:dyDescent="0.25">
      <c r="A293" t="s">
        <v>302</v>
      </c>
      <c r="B293" s="10">
        <v>11994.079563754722</v>
      </c>
      <c r="C293" s="10"/>
      <c r="D293" s="11">
        <f>IF(AND(ChartTable[[#This Row],[Valor Encerrado]]=0, ChartTable[[#This Row],[Valor Ativo]]=""), 1, 0)</f>
        <v>0</v>
      </c>
      <c r="E293" s="11">
        <f>IF(AND(ChartTable[[#This Row],[Valor Ativo]]&lt;&gt;"", ChartTable[[#This Row],[Valor Encerrado]]=""), 1, 0)</f>
        <v>1</v>
      </c>
      <c r="F293" s="11">
        <f>IF(AND(ChartTable[[#This Row],[Novo?]]=0, ChartTable[[#This Row],[Valor Ativo]]&lt;&gt;ChartTable[[#This Row],[Valor Encerrado]]), 1, 0)</f>
        <v>0</v>
      </c>
      <c r="G293" s="18" t="str">
        <f>IF(ChartTable[[#This Row],[Mudou?]]=1, ChartTable[[#This Row],[Valor Encerrado]]-ChartTable[[#This Row],[Valor Ativo]], "")</f>
        <v/>
      </c>
      <c r="H293" s="11" t="str">
        <f>IF(ChartTable[[#This Row],[Mudou?]]=1, IF(ChartTable[[#This Row],[Diferença]]&gt;0, "aumentou", "diminuiu"), "")</f>
        <v/>
      </c>
      <c r="I293" s="11" t="str" cm="1">
        <f t="array" ref="I293">_xlfn.IFS(ChartTable[[#This Row],[Exluido?]]=1,"Excluido",ChartTable[[#This Row],[Novo?]]=1, "Novo", ChartTable[[#This Row],[Mudou?]]=1, "Mudou")</f>
        <v>Novo</v>
      </c>
    </row>
    <row r="294" spans="1:9" x14ac:dyDescent="0.25">
      <c r="A294" t="s">
        <v>303</v>
      </c>
      <c r="B294" s="10">
        <v>11994.079563754722</v>
      </c>
      <c r="C294" s="10"/>
      <c r="D294" s="11">
        <f>IF(AND(ChartTable[[#This Row],[Valor Encerrado]]=0, ChartTable[[#This Row],[Valor Ativo]]=""), 1, 0)</f>
        <v>0</v>
      </c>
      <c r="E294" s="11">
        <f>IF(AND(ChartTable[[#This Row],[Valor Ativo]]&lt;&gt;"", ChartTable[[#This Row],[Valor Encerrado]]=""), 1, 0)</f>
        <v>1</v>
      </c>
      <c r="F294" s="11">
        <f>IF(AND(ChartTable[[#This Row],[Novo?]]=0, ChartTable[[#This Row],[Valor Ativo]]&lt;&gt;ChartTable[[#This Row],[Valor Encerrado]]), 1, 0)</f>
        <v>0</v>
      </c>
      <c r="G294" s="18" t="str">
        <f>IF(ChartTable[[#This Row],[Mudou?]]=1, ChartTable[[#This Row],[Valor Encerrado]]-ChartTable[[#This Row],[Valor Ativo]], "")</f>
        <v/>
      </c>
      <c r="H294" s="11" t="str">
        <f>IF(ChartTable[[#This Row],[Mudou?]]=1, IF(ChartTable[[#This Row],[Diferença]]&gt;0, "aumentou", "diminuiu"), "")</f>
        <v/>
      </c>
      <c r="I294" s="11" t="str" cm="1">
        <f t="array" ref="I294">_xlfn.IFS(ChartTable[[#This Row],[Exluido?]]=1,"Excluido",ChartTable[[#This Row],[Novo?]]=1, "Novo", ChartTable[[#This Row],[Mudou?]]=1, "Mudou")</f>
        <v>Novo</v>
      </c>
    </row>
    <row r="295" spans="1:9" x14ac:dyDescent="0.25">
      <c r="A295" t="s">
        <v>304</v>
      </c>
      <c r="B295" s="10">
        <v>11994.079563754722</v>
      </c>
      <c r="C295" s="10"/>
      <c r="D295" s="11">
        <f>IF(AND(ChartTable[[#This Row],[Valor Encerrado]]=0, ChartTable[[#This Row],[Valor Ativo]]=""), 1, 0)</f>
        <v>0</v>
      </c>
      <c r="E295" s="11">
        <f>IF(AND(ChartTable[[#This Row],[Valor Ativo]]&lt;&gt;"", ChartTable[[#This Row],[Valor Encerrado]]=""), 1, 0)</f>
        <v>1</v>
      </c>
      <c r="F295" s="11">
        <f>IF(AND(ChartTable[[#This Row],[Novo?]]=0, ChartTable[[#This Row],[Valor Ativo]]&lt;&gt;ChartTable[[#This Row],[Valor Encerrado]]), 1, 0)</f>
        <v>0</v>
      </c>
      <c r="G295" s="18" t="str">
        <f>IF(ChartTable[[#This Row],[Mudou?]]=1, ChartTable[[#This Row],[Valor Encerrado]]-ChartTable[[#This Row],[Valor Ativo]], "")</f>
        <v/>
      </c>
      <c r="H295" s="11" t="str">
        <f>IF(ChartTable[[#This Row],[Mudou?]]=1, IF(ChartTable[[#This Row],[Diferença]]&gt;0, "aumentou", "diminuiu"), "")</f>
        <v/>
      </c>
      <c r="I295" s="11" t="str" cm="1">
        <f t="array" ref="I295">_xlfn.IFS(ChartTable[[#This Row],[Exluido?]]=1,"Excluido",ChartTable[[#This Row],[Novo?]]=1, "Novo", ChartTable[[#This Row],[Mudou?]]=1, "Mudou")</f>
        <v>Novo</v>
      </c>
    </row>
    <row r="296" spans="1:9" x14ac:dyDescent="0.25">
      <c r="A296" t="s">
        <v>305</v>
      </c>
      <c r="B296" s="10">
        <v>11994.079563754722</v>
      </c>
      <c r="C296" s="10"/>
      <c r="D296" s="11">
        <f>IF(AND(ChartTable[[#This Row],[Valor Encerrado]]=0, ChartTable[[#This Row],[Valor Ativo]]=""), 1, 0)</f>
        <v>0</v>
      </c>
      <c r="E296" s="11">
        <f>IF(AND(ChartTable[[#This Row],[Valor Ativo]]&lt;&gt;"", ChartTable[[#This Row],[Valor Encerrado]]=""), 1, 0)</f>
        <v>1</v>
      </c>
      <c r="F296" s="11">
        <f>IF(AND(ChartTable[[#This Row],[Novo?]]=0, ChartTable[[#This Row],[Valor Ativo]]&lt;&gt;ChartTable[[#This Row],[Valor Encerrado]]), 1, 0)</f>
        <v>0</v>
      </c>
      <c r="G296" s="18" t="str">
        <f>IF(ChartTable[[#This Row],[Mudou?]]=1, ChartTable[[#This Row],[Valor Encerrado]]-ChartTable[[#This Row],[Valor Ativo]], "")</f>
        <v/>
      </c>
      <c r="H296" s="11" t="str">
        <f>IF(ChartTable[[#This Row],[Mudou?]]=1, IF(ChartTable[[#This Row],[Diferença]]&gt;0, "aumentou", "diminuiu"), "")</f>
        <v/>
      </c>
      <c r="I296" s="11" t="str" cm="1">
        <f t="array" ref="I296">_xlfn.IFS(ChartTable[[#This Row],[Exluido?]]=1,"Excluido",ChartTable[[#This Row],[Novo?]]=1, "Novo", ChartTable[[#This Row],[Mudou?]]=1, "Mudou")</f>
        <v>Novo</v>
      </c>
    </row>
    <row r="297" spans="1:9" x14ac:dyDescent="0.25">
      <c r="A297" t="s">
        <v>306</v>
      </c>
      <c r="B297" s="10">
        <v>11994.079563754722</v>
      </c>
      <c r="C297" s="10"/>
      <c r="D297" s="11">
        <f>IF(AND(ChartTable[[#This Row],[Valor Encerrado]]=0, ChartTable[[#This Row],[Valor Ativo]]=""), 1, 0)</f>
        <v>0</v>
      </c>
      <c r="E297" s="11">
        <f>IF(AND(ChartTable[[#This Row],[Valor Ativo]]&lt;&gt;"", ChartTable[[#This Row],[Valor Encerrado]]=""), 1, 0)</f>
        <v>1</v>
      </c>
      <c r="F297" s="11">
        <f>IF(AND(ChartTable[[#This Row],[Novo?]]=0, ChartTable[[#This Row],[Valor Ativo]]&lt;&gt;ChartTable[[#This Row],[Valor Encerrado]]), 1, 0)</f>
        <v>0</v>
      </c>
      <c r="G297" s="18" t="str">
        <f>IF(ChartTable[[#This Row],[Mudou?]]=1, ChartTable[[#This Row],[Valor Encerrado]]-ChartTable[[#This Row],[Valor Ativo]], "")</f>
        <v/>
      </c>
      <c r="H297" s="11" t="str">
        <f>IF(ChartTable[[#This Row],[Mudou?]]=1, IF(ChartTable[[#This Row],[Diferença]]&gt;0, "aumentou", "diminuiu"), "")</f>
        <v/>
      </c>
      <c r="I297" s="11" t="str" cm="1">
        <f t="array" ref="I297">_xlfn.IFS(ChartTable[[#This Row],[Exluido?]]=1,"Excluido",ChartTable[[#This Row],[Novo?]]=1, "Novo", ChartTable[[#This Row],[Mudou?]]=1, "Mudou")</f>
        <v>Novo</v>
      </c>
    </row>
    <row r="298" spans="1:9" x14ac:dyDescent="0.25">
      <c r="A298" t="s">
        <v>307</v>
      </c>
      <c r="B298" s="10">
        <v>11994.079563754722</v>
      </c>
      <c r="C298" s="10"/>
      <c r="D298" s="11">
        <f>IF(AND(ChartTable[[#This Row],[Valor Encerrado]]=0, ChartTable[[#This Row],[Valor Ativo]]=""), 1, 0)</f>
        <v>0</v>
      </c>
      <c r="E298" s="11">
        <f>IF(AND(ChartTable[[#This Row],[Valor Ativo]]&lt;&gt;"", ChartTable[[#This Row],[Valor Encerrado]]=""), 1, 0)</f>
        <v>1</v>
      </c>
      <c r="F298" s="11">
        <f>IF(AND(ChartTable[[#This Row],[Novo?]]=0, ChartTable[[#This Row],[Valor Ativo]]&lt;&gt;ChartTable[[#This Row],[Valor Encerrado]]), 1, 0)</f>
        <v>0</v>
      </c>
      <c r="G298" s="18" t="str">
        <f>IF(ChartTable[[#This Row],[Mudou?]]=1, ChartTable[[#This Row],[Valor Encerrado]]-ChartTable[[#This Row],[Valor Ativo]], "")</f>
        <v/>
      </c>
      <c r="H298" s="11" t="str">
        <f>IF(ChartTable[[#This Row],[Mudou?]]=1, IF(ChartTable[[#This Row],[Diferença]]&gt;0, "aumentou", "diminuiu"), "")</f>
        <v/>
      </c>
      <c r="I298" s="11" t="str" cm="1">
        <f t="array" ref="I298">_xlfn.IFS(ChartTable[[#This Row],[Exluido?]]=1,"Excluido",ChartTable[[#This Row],[Novo?]]=1, "Novo", ChartTable[[#This Row],[Mudou?]]=1, "Mudou")</f>
        <v>Novo</v>
      </c>
    </row>
    <row r="299" spans="1:9" x14ac:dyDescent="0.25">
      <c r="A299" t="s">
        <v>308</v>
      </c>
      <c r="B299" s="10">
        <v>11994.079563754722</v>
      </c>
      <c r="C299" s="10"/>
      <c r="D299" s="11">
        <f>IF(AND(ChartTable[[#This Row],[Valor Encerrado]]=0, ChartTable[[#This Row],[Valor Ativo]]=""), 1, 0)</f>
        <v>0</v>
      </c>
      <c r="E299" s="11">
        <f>IF(AND(ChartTable[[#This Row],[Valor Ativo]]&lt;&gt;"", ChartTable[[#This Row],[Valor Encerrado]]=""), 1, 0)</f>
        <v>1</v>
      </c>
      <c r="F299" s="11">
        <f>IF(AND(ChartTable[[#This Row],[Novo?]]=0, ChartTable[[#This Row],[Valor Ativo]]&lt;&gt;ChartTable[[#This Row],[Valor Encerrado]]), 1, 0)</f>
        <v>0</v>
      </c>
      <c r="G299" s="18" t="str">
        <f>IF(ChartTable[[#This Row],[Mudou?]]=1, ChartTable[[#This Row],[Valor Encerrado]]-ChartTable[[#This Row],[Valor Ativo]], "")</f>
        <v/>
      </c>
      <c r="H299" s="11" t="str">
        <f>IF(ChartTable[[#This Row],[Mudou?]]=1, IF(ChartTable[[#This Row],[Diferença]]&gt;0, "aumentou", "diminuiu"), "")</f>
        <v/>
      </c>
      <c r="I299" s="11" t="str" cm="1">
        <f t="array" ref="I299">_xlfn.IFS(ChartTable[[#This Row],[Exluido?]]=1,"Excluido",ChartTable[[#This Row],[Novo?]]=1, "Novo", ChartTable[[#This Row],[Mudou?]]=1, "Mudou")</f>
        <v>Novo</v>
      </c>
    </row>
    <row r="300" spans="1:9" x14ac:dyDescent="0.25">
      <c r="A300" t="s">
        <v>309</v>
      </c>
      <c r="B300" s="10">
        <v>11994.079563754722</v>
      </c>
      <c r="C300" s="10"/>
      <c r="D300" s="11">
        <f>IF(AND(ChartTable[[#This Row],[Valor Encerrado]]=0, ChartTable[[#This Row],[Valor Ativo]]=""), 1, 0)</f>
        <v>0</v>
      </c>
      <c r="E300" s="11">
        <f>IF(AND(ChartTable[[#This Row],[Valor Ativo]]&lt;&gt;"", ChartTable[[#This Row],[Valor Encerrado]]=""), 1, 0)</f>
        <v>1</v>
      </c>
      <c r="F300" s="11">
        <f>IF(AND(ChartTable[[#This Row],[Novo?]]=0, ChartTable[[#This Row],[Valor Ativo]]&lt;&gt;ChartTable[[#This Row],[Valor Encerrado]]), 1, 0)</f>
        <v>0</v>
      </c>
      <c r="G300" s="18" t="str">
        <f>IF(ChartTable[[#This Row],[Mudou?]]=1, ChartTable[[#This Row],[Valor Encerrado]]-ChartTable[[#This Row],[Valor Ativo]], "")</f>
        <v/>
      </c>
      <c r="H300" s="11" t="str">
        <f>IF(ChartTable[[#This Row],[Mudou?]]=1, IF(ChartTable[[#This Row],[Diferença]]&gt;0, "aumentou", "diminuiu"), "")</f>
        <v/>
      </c>
      <c r="I300" s="11" t="str" cm="1">
        <f t="array" ref="I300">_xlfn.IFS(ChartTable[[#This Row],[Exluido?]]=1,"Excluido",ChartTable[[#This Row],[Novo?]]=1, "Novo", ChartTable[[#This Row],[Mudou?]]=1, "Mudou")</f>
        <v>Novo</v>
      </c>
    </row>
    <row r="301" spans="1:9" x14ac:dyDescent="0.25">
      <c r="A301" t="s">
        <v>310</v>
      </c>
      <c r="B301" s="10">
        <v>11994.079563754722</v>
      </c>
      <c r="C301" s="10"/>
      <c r="D301" s="11">
        <f>IF(AND(ChartTable[[#This Row],[Valor Encerrado]]=0, ChartTable[[#This Row],[Valor Ativo]]=""), 1, 0)</f>
        <v>0</v>
      </c>
      <c r="E301" s="11">
        <f>IF(AND(ChartTable[[#This Row],[Valor Ativo]]&lt;&gt;"", ChartTable[[#This Row],[Valor Encerrado]]=""), 1, 0)</f>
        <v>1</v>
      </c>
      <c r="F301" s="11">
        <f>IF(AND(ChartTable[[#This Row],[Novo?]]=0, ChartTable[[#This Row],[Valor Ativo]]&lt;&gt;ChartTable[[#This Row],[Valor Encerrado]]), 1, 0)</f>
        <v>0</v>
      </c>
      <c r="G301" s="18" t="str">
        <f>IF(ChartTable[[#This Row],[Mudou?]]=1, ChartTable[[#This Row],[Valor Encerrado]]-ChartTable[[#This Row],[Valor Ativo]], "")</f>
        <v/>
      </c>
      <c r="H301" s="11" t="str">
        <f>IF(ChartTable[[#This Row],[Mudou?]]=1, IF(ChartTable[[#This Row],[Diferença]]&gt;0, "aumentou", "diminuiu"), "")</f>
        <v/>
      </c>
      <c r="I301" s="11" t="str" cm="1">
        <f t="array" ref="I301">_xlfn.IFS(ChartTable[[#This Row],[Exluido?]]=1,"Excluido",ChartTable[[#This Row],[Novo?]]=1, "Novo", ChartTable[[#This Row],[Mudou?]]=1, "Mudou")</f>
        <v>Novo</v>
      </c>
    </row>
    <row r="302" spans="1:9" x14ac:dyDescent="0.25">
      <c r="A302" t="s">
        <v>311</v>
      </c>
      <c r="B302" s="10">
        <v>11994.079563754722</v>
      </c>
      <c r="C302" s="10"/>
      <c r="D302" s="11">
        <f>IF(AND(ChartTable[[#This Row],[Valor Encerrado]]=0, ChartTable[[#This Row],[Valor Ativo]]=""), 1, 0)</f>
        <v>0</v>
      </c>
      <c r="E302" s="11">
        <f>IF(AND(ChartTable[[#This Row],[Valor Ativo]]&lt;&gt;"", ChartTable[[#This Row],[Valor Encerrado]]=""), 1, 0)</f>
        <v>1</v>
      </c>
      <c r="F302" s="11">
        <f>IF(AND(ChartTable[[#This Row],[Novo?]]=0, ChartTable[[#This Row],[Valor Ativo]]&lt;&gt;ChartTable[[#This Row],[Valor Encerrado]]), 1, 0)</f>
        <v>0</v>
      </c>
      <c r="G302" s="18" t="str">
        <f>IF(ChartTable[[#This Row],[Mudou?]]=1, ChartTable[[#This Row],[Valor Encerrado]]-ChartTable[[#This Row],[Valor Ativo]], "")</f>
        <v/>
      </c>
      <c r="H302" s="11" t="str">
        <f>IF(ChartTable[[#This Row],[Mudou?]]=1, IF(ChartTable[[#This Row],[Diferença]]&gt;0, "aumentou", "diminuiu"), "")</f>
        <v/>
      </c>
      <c r="I302" s="11" t="str" cm="1">
        <f t="array" ref="I302">_xlfn.IFS(ChartTable[[#This Row],[Exluido?]]=1,"Excluido",ChartTable[[#This Row],[Novo?]]=1, "Novo", ChartTable[[#This Row],[Mudou?]]=1, "Mudou")</f>
        <v>Novo</v>
      </c>
    </row>
    <row r="303" spans="1:9" x14ac:dyDescent="0.25">
      <c r="A303" t="s">
        <v>312</v>
      </c>
      <c r="B303" s="10">
        <v>11994.079563754722</v>
      </c>
      <c r="C303" s="10"/>
      <c r="D303" s="11">
        <f>IF(AND(ChartTable[[#This Row],[Valor Encerrado]]=0, ChartTable[[#This Row],[Valor Ativo]]=""), 1, 0)</f>
        <v>0</v>
      </c>
      <c r="E303" s="11">
        <f>IF(AND(ChartTable[[#This Row],[Valor Ativo]]&lt;&gt;"", ChartTable[[#This Row],[Valor Encerrado]]=""), 1, 0)</f>
        <v>1</v>
      </c>
      <c r="F303" s="11">
        <f>IF(AND(ChartTable[[#This Row],[Novo?]]=0, ChartTable[[#This Row],[Valor Ativo]]&lt;&gt;ChartTable[[#This Row],[Valor Encerrado]]), 1, 0)</f>
        <v>0</v>
      </c>
      <c r="G303" s="18" t="str">
        <f>IF(ChartTable[[#This Row],[Mudou?]]=1, ChartTable[[#This Row],[Valor Encerrado]]-ChartTable[[#This Row],[Valor Ativo]], "")</f>
        <v/>
      </c>
      <c r="H303" s="11" t="str">
        <f>IF(ChartTable[[#This Row],[Mudou?]]=1, IF(ChartTable[[#This Row],[Diferença]]&gt;0, "aumentou", "diminuiu"), "")</f>
        <v/>
      </c>
      <c r="I303" s="11" t="str" cm="1">
        <f t="array" ref="I303">_xlfn.IFS(ChartTable[[#This Row],[Exluido?]]=1,"Excluido",ChartTable[[#This Row],[Novo?]]=1, "Novo", ChartTable[[#This Row],[Mudou?]]=1, "Mudou")</f>
        <v>Novo</v>
      </c>
    </row>
    <row r="304" spans="1:9" x14ac:dyDescent="0.25">
      <c r="A304" t="s">
        <v>313</v>
      </c>
      <c r="B304" s="10">
        <v>11994.079563754722</v>
      </c>
      <c r="C304" s="10"/>
      <c r="D304" s="11">
        <f>IF(AND(ChartTable[[#This Row],[Valor Encerrado]]=0, ChartTable[[#This Row],[Valor Ativo]]=""), 1, 0)</f>
        <v>0</v>
      </c>
      <c r="E304" s="11">
        <f>IF(AND(ChartTable[[#This Row],[Valor Ativo]]&lt;&gt;"", ChartTable[[#This Row],[Valor Encerrado]]=""), 1, 0)</f>
        <v>1</v>
      </c>
      <c r="F304" s="11">
        <f>IF(AND(ChartTable[[#This Row],[Novo?]]=0, ChartTable[[#This Row],[Valor Ativo]]&lt;&gt;ChartTable[[#This Row],[Valor Encerrado]]), 1, 0)</f>
        <v>0</v>
      </c>
      <c r="G304" s="18" t="str">
        <f>IF(ChartTable[[#This Row],[Mudou?]]=1, ChartTable[[#This Row],[Valor Encerrado]]-ChartTable[[#This Row],[Valor Ativo]], "")</f>
        <v/>
      </c>
      <c r="H304" s="11" t="str">
        <f>IF(ChartTable[[#This Row],[Mudou?]]=1, IF(ChartTable[[#This Row],[Diferença]]&gt;0, "aumentou", "diminuiu"), "")</f>
        <v/>
      </c>
      <c r="I304" s="11" t="str" cm="1">
        <f t="array" ref="I304">_xlfn.IFS(ChartTable[[#This Row],[Exluido?]]=1,"Excluido",ChartTable[[#This Row],[Novo?]]=1, "Novo", ChartTable[[#This Row],[Mudou?]]=1, "Mudou")</f>
        <v>Novo</v>
      </c>
    </row>
    <row r="305" spans="1:9" x14ac:dyDescent="0.25">
      <c r="A305" t="s">
        <v>314</v>
      </c>
      <c r="B305" s="10">
        <v>11994.079563754722</v>
      </c>
      <c r="C305" s="10"/>
      <c r="D305" s="11">
        <f>IF(AND(ChartTable[[#This Row],[Valor Encerrado]]=0, ChartTable[[#This Row],[Valor Ativo]]=""), 1, 0)</f>
        <v>0</v>
      </c>
      <c r="E305" s="11">
        <f>IF(AND(ChartTable[[#This Row],[Valor Ativo]]&lt;&gt;"", ChartTable[[#This Row],[Valor Encerrado]]=""), 1, 0)</f>
        <v>1</v>
      </c>
      <c r="F305" s="11">
        <f>IF(AND(ChartTable[[#This Row],[Novo?]]=0, ChartTable[[#This Row],[Valor Ativo]]&lt;&gt;ChartTable[[#This Row],[Valor Encerrado]]), 1, 0)</f>
        <v>0</v>
      </c>
      <c r="G305" s="18" t="str">
        <f>IF(ChartTable[[#This Row],[Mudou?]]=1, ChartTable[[#This Row],[Valor Encerrado]]-ChartTable[[#This Row],[Valor Ativo]], "")</f>
        <v/>
      </c>
      <c r="H305" s="11" t="str">
        <f>IF(ChartTable[[#This Row],[Mudou?]]=1, IF(ChartTable[[#This Row],[Diferença]]&gt;0, "aumentou", "diminuiu"), "")</f>
        <v/>
      </c>
      <c r="I305" s="11" t="str" cm="1">
        <f t="array" ref="I305">_xlfn.IFS(ChartTable[[#This Row],[Exluido?]]=1,"Excluido",ChartTable[[#This Row],[Novo?]]=1, "Novo", ChartTable[[#This Row],[Mudou?]]=1, "Mudou")</f>
        <v>Novo</v>
      </c>
    </row>
    <row r="306" spans="1:9" x14ac:dyDescent="0.25">
      <c r="A306" t="s">
        <v>315</v>
      </c>
      <c r="B306" s="10">
        <v>11994.079563754722</v>
      </c>
      <c r="C306" s="10"/>
      <c r="D306" s="11">
        <f>IF(AND(ChartTable[[#This Row],[Valor Encerrado]]=0, ChartTable[[#This Row],[Valor Ativo]]=""), 1, 0)</f>
        <v>0</v>
      </c>
      <c r="E306" s="11">
        <f>IF(AND(ChartTable[[#This Row],[Valor Ativo]]&lt;&gt;"", ChartTable[[#This Row],[Valor Encerrado]]=""), 1, 0)</f>
        <v>1</v>
      </c>
      <c r="F306" s="11">
        <f>IF(AND(ChartTable[[#This Row],[Novo?]]=0, ChartTable[[#This Row],[Valor Ativo]]&lt;&gt;ChartTable[[#This Row],[Valor Encerrado]]), 1, 0)</f>
        <v>0</v>
      </c>
      <c r="G306" s="18" t="str">
        <f>IF(ChartTable[[#This Row],[Mudou?]]=1, ChartTable[[#This Row],[Valor Encerrado]]-ChartTable[[#This Row],[Valor Ativo]], "")</f>
        <v/>
      </c>
      <c r="H306" s="11" t="str">
        <f>IF(ChartTable[[#This Row],[Mudou?]]=1, IF(ChartTable[[#This Row],[Diferença]]&gt;0, "aumentou", "diminuiu"), "")</f>
        <v/>
      </c>
      <c r="I306" s="11" t="str" cm="1">
        <f t="array" ref="I306">_xlfn.IFS(ChartTable[[#This Row],[Exluido?]]=1,"Excluido",ChartTable[[#This Row],[Novo?]]=1, "Novo", ChartTable[[#This Row],[Mudou?]]=1, "Mudou")</f>
        <v>Novo</v>
      </c>
    </row>
    <row r="307" spans="1:9" x14ac:dyDescent="0.25">
      <c r="A307" t="s">
        <v>316</v>
      </c>
      <c r="B307" s="10">
        <v>11994.079563754722</v>
      </c>
      <c r="C307" s="10"/>
      <c r="D307" s="11">
        <f>IF(AND(ChartTable[[#This Row],[Valor Encerrado]]=0, ChartTable[[#This Row],[Valor Ativo]]=""), 1, 0)</f>
        <v>0</v>
      </c>
      <c r="E307" s="11">
        <f>IF(AND(ChartTable[[#This Row],[Valor Ativo]]&lt;&gt;"", ChartTable[[#This Row],[Valor Encerrado]]=""), 1, 0)</f>
        <v>1</v>
      </c>
      <c r="F307" s="11">
        <f>IF(AND(ChartTable[[#This Row],[Novo?]]=0, ChartTable[[#This Row],[Valor Ativo]]&lt;&gt;ChartTable[[#This Row],[Valor Encerrado]]), 1, 0)</f>
        <v>0</v>
      </c>
      <c r="G307" s="18" t="str">
        <f>IF(ChartTable[[#This Row],[Mudou?]]=1, ChartTable[[#This Row],[Valor Encerrado]]-ChartTable[[#This Row],[Valor Ativo]], "")</f>
        <v/>
      </c>
      <c r="H307" s="11" t="str">
        <f>IF(ChartTable[[#This Row],[Mudou?]]=1, IF(ChartTable[[#This Row],[Diferença]]&gt;0, "aumentou", "diminuiu"), "")</f>
        <v/>
      </c>
      <c r="I307" s="11" t="str" cm="1">
        <f t="array" ref="I307">_xlfn.IFS(ChartTable[[#This Row],[Exluido?]]=1,"Excluido",ChartTable[[#This Row],[Novo?]]=1, "Novo", ChartTable[[#This Row],[Mudou?]]=1, "Mudou")</f>
        <v>Novo</v>
      </c>
    </row>
    <row r="308" spans="1:9" x14ac:dyDescent="0.25">
      <c r="A308" t="s">
        <v>317</v>
      </c>
      <c r="B308" s="10">
        <v>11994.079563754722</v>
      </c>
      <c r="C308" s="10"/>
      <c r="D308" s="11">
        <f>IF(AND(ChartTable[[#This Row],[Valor Encerrado]]=0, ChartTable[[#This Row],[Valor Ativo]]=""), 1, 0)</f>
        <v>0</v>
      </c>
      <c r="E308" s="11">
        <f>IF(AND(ChartTable[[#This Row],[Valor Ativo]]&lt;&gt;"", ChartTable[[#This Row],[Valor Encerrado]]=""), 1, 0)</f>
        <v>1</v>
      </c>
      <c r="F308" s="11">
        <f>IF(AND(ChartTable[[#This Row],[Novo?]]=0, ChartTable[[#This Row],[Valor Ativo]]&lt;&gt;ChartTable[[#This Row],[Valor Encerrado]]), 1, 0)</f>
        <v>0</v>
      </c>
      <c r="G308" s="18" t="str">
        <f>IF(ChartTable[[#This Row],[Mudou?]]=1, ChartTable[[#This Row],[Valor Encerrado]]-ChartTable[[#This Row],[Valor Ativo]], "")</f>
        <v/>
      </c>
      <c r="H308" s="11" t="str">
        <f>IF(ChartTable[[#This Row],[Mudou?]]=1, IF(ChartTable[[#This Row],[Diferença]]&gt;0, "aumentou", "diminuiu"), "")</f>
        <v/>
      </c>
      <c r="I308" s="11" t="str" cm="1">
        <f t="array" ref="I308">_xlfn.IFS(ChartTable[[#This Row],[Exluido?]]=1,"Excluido",ChartTable[[#This Row],[Novo?]]=1, "Novo", ChartTable[[#This Row],[Mudou?]]=1, "Mudou")</f>
        <v>Novo</v>
      </c>
    </row>
    <row r="309" spans="1:9" x14ac:dyDescent="0.25">
      <c r="A309" t="s">
        <v>318</v>
      </c>
      <c r="B309" s="10">
        <v>11994.079563754722</v>
      </c>
      <c r="C309" s="10"/>
      <c r="D309" s="11">
        <f>IF(AND(ChartTable[[#This Row],[Valor Encerrado]]=0, ChartTable[[#This Row],[Valor Ativo]]=""), 1, 0)</f>
        <v>0</v>
      </c>
      <c r="E309" s="11">
        <f>IF(AND(ChartTable[[#This Row],[Valor Ativo]]&lt;&gt;"", ChartTable[[#This Row],[Valor Encerrado]]=""), 1, 0)</f>
        <v>1</v>
      </c>
      <c r="F309" s="11">
        <f>IF(AND(ChartTable[[#This Row],[Novo?]]=0, ChartTable[[#This Row],[Valor Ativo]]&lt;&gt;ChartTable[[#This Row],[Valor Encerrado]]), 1, 0)</f>
        <v>0</v>
      </c>
      <c r="G309" s="18" t="str">
        <f>IF(ChartTable[[#This Row],[Mudou?]]=1, ChartTable[[#This Row],[Valor Encerrado]]-ChartTable[[#This Row],[Valor Ativo]], "")</f>
        <v/>
      </c>
      <c r="H309" s="11" t="str">
        <f>IF(ChartTable[[#This Row],[Mudou?]]=1, IF(ChartTable[[#This Row],[Diferença]]&gt;0, "aumentou", "diminuiu"), "")</f>
        <v/>
      </c>
      <c r="I309" s="11" t="str" cm="1">
        <f t="array" ref="I309">_xlfn.IFS(ChartTable[[#This Row],[Exluido?]]=1,"Excluido",ChartTable[[#This Row],[Novo?]]=1, "Novo", ChartTable[[#This Row],[Mudou?]]=1, "Mudou")</f>
        <v>Novo</v>
      </c>
    </row>
    <row r="310" spans="1:9" x14ac:dyDescent="0.25">
      <c r="A310" t="s">
        <v>319</v>
      </c>
      <c r="B310" s="10">
        <v>11994.079563754722</v>
      </c>
      <c r="C310" s="10"/>
      <c r="D310" s="11">
        <f>IF(AND(ChartTable[[#This Row],[Valor Encerrado]]=0, ChartTable[[#This Row],[Valor Ativo]]=""), 1, 0)</f>
        <v>0</v>
      </c>
      <c r="E310" s="11">
        <f>IF(AND(ChartTable[[#This Row],[Valor Ativo]]&lt;&gt;"", ChartTable[[#This Row],[Valor Encerrado]]=""), 1, 0)</f>
        <v>1</v>
      </c>
      <c r="F310" s="11">
        <f>IF(AND(ChartTable[[#This Row],[Novo?]]=0, ChartTable[[#This Row],[Valor Ativo]]&lt;&gt;ChartTable[[#This Row],[Valor Encerrado]]), 1, 0)</f>
        <v>0</v>
      </c>
      <c r="G310" s="18" t="str">
        <f>IF(ChartTable[[#This Row],[Mudou?]]=1, ChartTable[[#This Row],[Valor Encerrado]]-ChartTable[[#This Row],[Valor Ativo]], "")</f>
        <v/>
      </c>
      <c r="H310" s="11" t="str">
        <f>IF(ChartTable[[#This Row],[Mudou?]]=1, IF(ChartTable[[#This Row],[Diferença]]&gt;0, "aumentou", "diminuiu"), "")</f>
        <v/>
      </c>
      <c r="I310" s="11" t="str" cm="1">
        <f t="array" ref="I310">_xlfn.IFS(ChartTable[[#This Row],[Exluido?]]=1,"Excluido",ChartTable[[#This Row],[Novo?]]=1, "Novo", ChartTable[[#This Row],[Mudou?]]=1, "Mudou")</f>
        <v>Novo</v>
      </c>
    </row>
    <row r="311" spans="1:9" x14ac:dyDescent="0.25">
      <c r="A311" t="s">
        <v>320</v>
      </c>
      <c r="B311" s="10">
        <v>11994.079563754722</v>
      </c>
      <c r="C311" s="10"/>
      <c r="D311" s="11">
        <f>IF(AND(ChartTable[[#This Row],[Valor Encerrado]]=0, ChartTable[[#This Row],[Valor Ativo]]=""), 1, 0)</f>
        <v>0</v>
      </c>
      <c r="E311" s="11">
        <f>IF(AND(ChartTable[[#This Row],[Valor Ativo]]&lt;&gt;"", ChartTable[[#This Row],[Valor Encerrado]]=""), 1, 0)</f>
        <v>1</v>
      </c>
      <c r="F311" s="11">
        <f>IF(AND(ChartTable[[#This Row],[Novo?]]=0, ChartTable[[#This Row],[Valor Ativo]]&lt;&gt;ChartTable[[#This Row],[Valor Encerrado]]), 1, 0)</f>
        <v>0</v>
      </c>
      <c r="G311" s="18" t="str">
        <f>IF(ChartTable[[#This Row],[Mudou?]]=1, ChartTable[[#This Row],[Valor Encerrado]]-ChartTable[[#This Row],[Valor Ativo]], "")</f>
        <v/>
      </c>
      <c r="H311" s="11" t="str">
        <f>IF(ChartTable[[#This Row],[Mudou?]]=1, IF(ChartTable[[#This Row],[Diferença]]&gt;0, "aumentou", "diminuiu"), "")</f>
        <v/>
      </c>
      <c r="I311" s="11" t="str" cm="1">
        <f t="array" ref="I311">_xlfn.IFS(ChartTable[[#This Row],[Exluido?]]=1,"Excluido",ChartTable[[#This Row],[Novo?]]=1, "Novo", ChartTable[[#This Row],[Mudou?]]=1, "Mudou")</f>
        <v>Novo</v>
      </c>
    </row>
    <row r="312" spans="1:9" x14ac:dyDescent="0.25">
      <c r="A312" t="s">
        <v>321</v>
      </c>
      <c r="B312" s="10">
        <v>11994.079563754722</v>
      </c>
      <c r="C312" s="10"/>
      <c r="D312" s="11">
        <f>IF(AND(ChartTable[[#This Row],[Valor Encerrado]]=0, ChartTable[[#This Row],[Valor Ativo]]=""), 1, 0)</f>
        <v>0</v>
      </c>
      <c r="E312" s="11">
        <f>IF(AND(ChartTable[[#This Row],[Valor Ativo]]&lt;&gt;"", ChartTable[[#This Row],[Valor Encerrado]]=""), 1, 0)</f>
        <v>1</v>
      </c>
      <c r="F312" s="11">
        <f>IF(AND(ChartTable[[#This Row],[Novo?]]=0, ChartTable[[#This Row],[Valor Ativo]]&lt;&gt;ChartTable[[#This Row],[Valor Encerrado]]), 1, 0)</f>
        <v>0</v>
      </c>
      <c r="G312" s="18" t="str">
        <f>IF(ChartTable[[#This Row],[Mudou?]]=1, ChartTable[[#This Row],[Valor Encerrado]]-ChartTable[[#This Row],[Valor Ativo]], "")</f>
        <v/>
      </c>
      <c r="H312" s="11" t="str">
        <f>IF(ChartTable[[#This Row],[Mudou?]]=1, IF(ChartTable[[#This Row],[Diferença]]&gt;0, "aumentou", "diminuiu"), "")</f>
        <v/>
      </c>
      <c r="I312" s="11" t="str" cm="1">
        <f t="array" ref="I312">_xlfn.IFS(ChartTable[[#This Row],[Exluido?]]=1,"Excluido",ChartTable[[#This Row],[Novo?]]=1, "Novo", ChartTable[[#This Row],[Mudou?]]=1, "Mudou")</f>
        <v>Novo</v>
      </c>
    </row>
    <row r="313" spans="1:9" x14ac:dyDescent="0.25">
      <c r="A313" t="s">
        <v>322</v>
      </c>
      <c r="B313" s="10">
        <v>11994.079563754722</v>
      </c>
      <c r="C313" s="10"/>
      <c r="D313" s="11">
        <f>IF(AND(ChartTable[[#This Row],[Valor Encerrado]]=0, ChartTable[[#This Row],[Valor Ativo]]=""), 1, 0)</f>
        <v>0</v>
      </c>
      <c r="E313" s="11">
        <f>IF(AND(ChartTable[[#This Row],[Valor Ativo]]&lt;&gt;"", ChartTable[[#This Row],[Valor Encerrado]]=""), 1, 0)</f>
        <v>1</v>
      </c>
      <c r="F313" s="11">
        <f>IF(AND(ChartTable[[#This Row],[Novo?]]=0, ChartTable[[#This Row],[Valor Ativo]]&lt;&gt;ChartTable[[#This Row],[Valor Encerrado]]), 1, 0)</f>
        <v>0</v>
      </c>
      <c r="G313" s="18" t="str">
        <f>IF(ChartTable[[#This Row],[Mudou?]]=1, ChartTable[[#This Row],[Valor Encerrado]]-ChartTable[[#This Row],[Valor Ativo]], "")</f>
        <v/>
      </c>
      <c r="H313" s="11" t="str">
        <f>IF(ChartTable[[#This Row],[Mudou?]]=1, IF(ChartTable[[#This Row],[Diferença]]&gt;0, "aumentou", "diminuiu"), "")</f>
        <v/>
      </c>
      <c r="I313" s="11" t="str" cm="1">
        <f t="array" ref="I313">_xlfn.IFS(ChartTable[[#This Row],[Exluido?]]=1,"Excluido",ChartTable[[#This Row],[Novo?]]=1, "Novo", ChartTable[[#This Row],[Mudou?]]=1, "Mudou")</f>
        <v>Novo</v>
      </c>
    </row>
    <row r="314" spans="1:9" x14ac:dyDescent="0.25">
      <c r="A314" t="s">
        <v>323</v>
      </c>
      <c r="B314" s="10">
        <v>11994.079563754722</v>
      </c>
      <c r="C314" s="10"/>
      <c r="D314" s="11">
        <f>IF(AND(ChartTable[[#This Row],[Valor Encerrado]]=0, ChartTable[[#This Row],[Valor Ativo]]=""), 1, 0)</f>
        <v>0</v>
      </c>
      <c r="E314" s="11">
        <f>IF(AND(ChartTable[[#This Row],[Valor Ativo]]&lt;&gt;"", ChartTable[[#This Row],[Valor Encerrado]]=""), 1, 0)</f>
        <v>1</v>
      </c>
      <c r="F314" s="11">
        <f>IF(AND(ChartTable[[#This Row],[Novo?]]=0, ChartTable[[#This Row],[Valor Ativo]]&lt;&gt;ChartTable[[#This Row],[Valor Encerrado]]), 1, 0)</f>
        <v>0</v>
      </c>
      <c r="G314" s="18" t="str">
        <f>IF(ChartTable[[#This Row],[Mudou?]]=1, ChartTable[[#This Row],[Valor Encerrado]]-ChartTable[[#This Row],[Valor Ativo]], "")</f>
        <v/>
      </c>
      <c r="H314" s="11" t="str">
        <f>IF(ChartTable[[#This Row],[Mudou?]]=1, IF(ChartTable[[#This Row],[Diferença]]&gt;0, "aumentou", "diminuiu"), "")</f>
        <v/>
      </c>
      <c r="I314" s="11" t="str" cm="1">
        <f t="array" ref="I314">_xlfn.IFS(ChartTable[[#This Row],[Exluido?]]=1,"Excluido",ChartTable[[#This Row],[Novo?]]=1, "Novo", ChartTable[[#This Row],[Mudou?]]=1, "Mudou")</f>
        <v>Novo</v>
      </c>
    </row>
    <row r="315" spans="1:9" x14ac:dyDescent="0.25">
      <c r="A315" t="s">
        <v>324</v>
      </c>
      <c r="B315" s="10">
        <v>11994.079563754722</v>
      </c>
      <c r="C315" s="10"/>
      <c r="D315" s="11">
        <f>IF(AND(ChartTable[[#This Row],[Valor Encerrado]]=0, ChartTable[[#This Row],[Valor Ativo]]=""), 1, 0)</f>
        <v>0</v>
      </c>
      <c r="E315" s="11">
        <f>IF(AND(ChartTable[[#This Row],[Valor Ativo]]&lt;&gt;"", ChartTable[[#This Row],[Valor Encerrado]]=""), 1, 0)</f>
        <v>1</v>
      </c>
      <c r="F315" s="11">
        <f>IF(AND(ChartTable[[#This Row],[Novo?]]=0, ChartTable[[#This Row],[Valor Ativo]]&lt;&gt;ChartTable[[#This Row],[Valor Encerrado]]), 1, 0)</f>
        <v>0</v>
      </c>
      <c r="G315" s="18" t="str">
        <f>IF(ChartTable[[#This Row],[Mudou?]]=1, ChartTable[[#This Row],[Valor Encerrado]]-ChartTable[[#This Row],[Valor Ativo]], "")</f>
        <v/>
      </c>
      <c r="H315" s="11" t="str">
        <f>IF(ChartTable[[#This Row],[Mudou?]]=1, IF(ChartTable[[#This Row],[Diferença]]&gt;0, "aumentou", "diminuiu"), "")</f>
        <v/>
      </c>
      <c r="I315" s="11" t="str" cm="1">
        <f t="array" ref="I315">_xlfn.IFS(ChartTable[[#This Row],[Exluido?]]=1,"Excluido",ChartTable[[#This Row],[Novo?]]=1, "Novo", ChartTable[[#This Row],[Mudou?]]=1, "Mudou")</f>
        <v>Novo</v>
      </c>
    </row>
    <row r="316" spans="1:9" x14ac:dyDescent="0.25">
      <c r="A316" t="s">
        <v>325</v>
      </c>
      <c r="B316" s="10">
        <v>11994.079563754722</v>
      </c>
      <c r="C316" s="10"/>
      <c r="D316" s="11">
        <f>IF(AND(ChartTable[[#This Row],[Valor Encerrado]]=0, ChartTable[[#This Row],[Valor Ativo]]=""), 1, 0)</f>
        <v>0</v>
      </c>
      <c r="E316" s="11">
        <f>IF(AND(ChartTable[[#This Row],[Valor Ativo]]&lt;&gt;"", ChartTable[[#This Row],[Valor Encerrado]]=""), 1, 0)</f>
        <v>1</v>
      </c>
      <c r="F316" s="11">
        <f>IF(AND(ChartTable[[#This Row],[Novo?]]=0, ChartTable[[#This Row],[Valor Ativo]]&lt;&gt;ChartTable[[#This Row],[Valor Encerrado]]), 1, 0)</f>
        <v>0</v>
      </c>
      <c r="G316" s="18" t="str">
        <f>IF(ChartTable[[#This Row],[Mudou?]]=1, ChartTable[[#This Row],[Valor Encerrado]]-ChartTable[[#This Row],[Valor Ativo]], "")</f>
        <v/>
      </c>
      <c r="H316" s="11" t="str">
        <f>IF(ChartTable[[#This Row],[Mudou?]]=1, IF(ChartTable[[#This Row],[Diferença]]&gt;0, "aumentou", "diminuiu"), "")</f>
        <v/>
      </c>
      <c r="I316" s="11" t="str" cm="1">
        <f t="array" ref="I316">_xlfn.IFS(ChartTable[[#This Row],[Exluido?]]=1,"Excluido",ChartTable[[#This Row],[Novo?]]=1, "Novo", ChartTable[[#This Row],[Mudou?]]=1, "Mudou")</f>
        <v>Novo</v>
      </c>
    </row>
    <row r="317" spans="1:9" x14ac:dyDescent="0.25">
      <c r="A317" t="s">
        <v>326</v>
      </c>
      <c r="B317" s="10">
        <v>11994.079563754722</v>
      </c>
      <c r="C317" s="10"/>
      <c r="D317" s="11">
        <f>IF(AND(ChartTable[[#This Row],[Valor Encerrado]]=0, ChartTable[[#This Row],[Valor Ativo]]=""), 1, 0)</f>
        <v>0</v>
      </c>
      <c r="E317" s="11">
        <f>IF(AND(ChartTable[[#This Row],[Valor Ativo]]&lt;&gt;"", ChartTable[[#This Row],[Valor Encerrado]]=""), 1, 0)</f>
        <v>1</v>
      </c>
      <c r="F317" s="11">
        <f>IF(AND(ChartTable[[#This Row],[Novo?]]=0, ChartTable[[#This Row],[Valor Ativo]]&lt;&gt;ChartTable[[#This Row],[Valor Encerrado]]), 1, 0)</f>
        <v>0</v>
      </c>
      <c r="G317" s="18" t="str">
        <f>IF(ChartTable[[#This Row],[Mudou?]]=1, ChartTable[[#This Row],[Valor Encerrado]]-ChartTable[[#This Row],[Valor Ativo]], "")</f>
        <v/>
      </c>
      <c r="H317" s="11" t="str">
        <f>IF(ChartTable[[#This Row],[Mudou?]]=1, IF(ChartTable[[#This Row],[Diferença]]&gt;0, "aumentou", "diminuiu"), "")</f>
        <v/>
      </c>
      <c r="I317" s="11" t="str" cm="1">
        <f t="array" ref="I317">_xlfn.IFS(ChartTable[[#This Row],[Exluido?]]=1,"Excluido",ChartTable[[#This Row],[Novo?]]=1, "Novo", ChartTable[[#This Row],[Mudou?]]=1, "Mudou")</f>
        <v>Novo</v>
      </c>
    </row>
    <row r="318" spans="1:9" x14ac:dyDescent="0.25">
      <c r="A318" t="s">
        <v>327</v>
      </c>
      <c r="B318" s="10">
        <v>11994.079563754722</v>
      </c>
      <c r="C318" s="10"/>
      <c r="D318" s="11">
        <f>IF(AND(ChartTable[[#This Row],[Valor Encerrado]]=0, ChartTable[[#This Row],[Valor Ativo]]=""), 1, 0)</f>
        <v>0</v>
      </c>
      <c r="E318" s="11">
        <f>IF(AND(ChartTable[[#This Row],[Valor Ativo]]&lt;&gt;"", ChartTable[[#This Row],[Valor Encerrado]]=""), 1, 0)</f>
        <v>1</v>
      </c>
      <c r="F318" s="11">
        <f>IF(AND(ChartTable[[#This Row],[Novo?]]=0, ChartTable[[#This Row],[Valor Ativo]]&lt;&gt;ChartTable[[#This Row],[Valor Encerrado]]), 1, 0)</f>
        <v>0</v>
      </c>
      <c r="G318" s="18" t="str">
        <f>IF(ChartTable[[#This Row],[Mudou?]]=1, ChartTable[[#This Row],[Valor Encerrado]]-ChartTable[[#This Row],[Valor Ativo]], "")</f>
        <v/>
      </c>
      <c r="H318" s="11" t="str">
        <f>IF(ChartTable[[#This Row],[Mudou?]]=1, IF(ChartTable[[#This Row],[Diferença]]&gt;0, "aumentou", "diminuiu"), "")</f>
        <v/>
      </c>
      <c r="I318" s="11" t="str" cm="1">
        <f t="array" ref="I318">_xlfn.IFS(ChartTable[[#This Row],[Exluido?]]=1,"Excluido",ChartTable[[#This Row],[Novo?]]=1, "Novo", ChartTable[[#This Row],[Mudou?]]=1, "Mudou")</f>
        <v>Novo</v>
      </c>
    </row>
    <row r="319" spans="1:9" x14ac:dyDescent="0.25">
      <c r="A319" t="s">
        <v>328</v>
      </c>
      <c r="B319" s="10">
        <v>11994.079563754722</v>
      </c>
      <c r="C319" s="10"/>
      <c r="D319" s="11">
        <f>IF(AND(ChartTable[[#This Row],[Valor Encerrado]]=0, ChartTable[[#This Row],[Valor Ativo]]=""), 1, 0)</f>
        <v>0</v>
      </c>
      <c r="E319" s="11">
        <f>IF(AND(ChartTable[[#This Row],[Valor Ativo]]&lt;&gt;"", ChartTable[[#This Row],[Valor Encerrado]]=""), 1, 0)</f>
        <v>1</v>
      </c>
      <c r="F319" s="11">
        <f>IF(AND(ChartTable[[#This Row],[Novo?]]=0, ChartTable[[#This Row],[Valor Ativo]]&lt;&gt;ChartTable[[#This Row],[Valor Encerrado]]), 1, 0)</f>
        <v>0</v>
      </c>
      <c r="G319" s="18" t="str">
        <f>IF(ChartTable[[#This Row],[Mudou?]]=1, ChartTable[[#This Row],[Valor Encerrado]]-ChartTable[[#This Row],[Valor Ativo]], "")</f>
        <v/>
      </c>
      <c r="H319" s="11" t="str">
        <f>IF(ChartTable[[#This Row],[Mudou?]]=1, IF(ChartTable[[#This Row],[Diferença]]&gt;0, "aumentou", "diminuiu"), "")</f>
        <v/>
      </c>
      <c r="I319" s="11" t="str" cm="1">
        <f t="array" ref="I319">_xlfn.IFS(ChartTable[[#This Row],[Exluido?]]=1,"Excluido",ChartTable[[#This Row],[Novo?]]=1, "Novo", ChartTable[[#This Row],[Mudou?]]=1, "Mudou")</f>
        <v>Novo</v>
      </c>
    </row>
    <row r="320" spans="1:9" x14ac:dyDescent="0.25">
      <c r="A320" t="s">
        <v>329</v>
      </c>
      <c r="B320" s="10">
        <v>11994.079563754722</v>
      </c>
      <c r="C320" s="10"/>
      <c r="D320" s="11">
        <f>IF(AND(ChartTable[[#This Row],[Valor Encerrado]]=0, ChartTable[[#This Row],[Valor Ativo]]=""), 1, 0)</f>
        <v>0</v>
      </c>
      <c r="E320" s="11">
        <f>IF(AND(ChartTable[[#This Row],[Valor Ativo]]&lt;&gt;"", ChartTable[[#This Row],[Valor Encerrado]]=""), 1, 0)</f>
        <v>1</v>
      </c>
      <c r="F320" s="11">
        <f>IF(AND(ChartTable[[#This Row],[Novo?]]=0, ChartTable[[#This Row],[Valor Ativo]]&lt;&gt;ChartTable[[#This Row],[Valor Encerrado]]), 1, 0)</f>
        <v>0</v>
      </c>
      <c r="G320" s="18" t="str">
        <f>IF(ChartTable[[#This Row],[Mudou?]]=1, ChartTable[[#This Row],[Valor Encerrado]]-ChartTable[[#This Row],[Valor Ativo]], "")</f>
        <v/>
      </c>
      <c r="H320" s="11" t="str">
        <f>IF(ChartTable[[#This Row],[Mudou?]]=1, IF(ChartTable[[#This Row],[Diferença]]&gt;0, "aumentou", "diminuiu"), "")</f>
        <v/>
      </c>
      <c r="I320" s="11" t="str" cm="1">
        <f t="array" ref="I320">_xlfn.IFS(ChartTable[[#This Row],[Exluido?]]=1,"Excluido",ChartTable[[#This Row],[Novo?]]=1, "Novo", ChartTable[[#This Row],[Mudou?]]=1, "Mudou")</f>
        <v>Novo</v>
      </c>
    </row>
    <row r="321" spans="1:9" x14ac:dyDescent="0.25">
      <c r="A321" t="s">
        <v>330</v>
      </c>
      <c r="B321" s="10">
        <v>11994.079563754722</v>
      </c>
      <c r="C321" s="10"/>
      <c r="D321" s="11">
        <f>IF(AND(ChartTable[[#This Row],[Valor Encerrado]]=0, ChartTable[[#This Row],[Valor Ativo]]=""), 1, 0)</f>
        <v>0</v>
      </c>
      <c r="E321" s="11">
        <f>IF(AND(ChartTable[[#This Row],[Valor Ativo]]&lt;&gt;"", ChartTable[[#This Row],[Valor Encerrado]]=""), 1, 0)</f>
        <v>1</v>
      </c>
      <c r="F321" s="11">
        <f>IF(AND(ChartTable[[#This Row],[Novo?]]=0, ChartTable[[#This Row],[Valor Ativo]]&lt;&gt;ChartTable[[#This Row],[Valor Encerrado]]), 1, 0)</f>
        <v>0</v>
      </c>
      <c r="G321" s="18" t="str">
        <f>IF(ChartTable[[#This Row],[Mudou?]]=1, ChartTable[[#This Row],[Valor Encerrado]]-ChartTable[[#This Row],[Valor Ativo]], "")</f>
        <v/>
      </c>
      <c r="H321" s="11" t="str">
        <f>IF(ChartTable[[#This Row],[Mudou?]]=1, IF(ChartTable[[#This Row],[Diferença]]&gt;0, "aumentou", "diminuiu"), "")</f>
        <v/>
      </c>
      <c r="I321" s="11" t="str" cm="1">
        <f t="array" ref="I321">_xlfn.IFS(ChartTable[[#This Row],[Exluido?]]=1,"Excluido",ChartTable[[#This Row],[Novo?]]=1, "Novo", ChartTable[[#This Row],[Mudou?]]=1, "Mudou")</f>
        <v>Novo</v>
      </c>
    </row>
    <row r="322" spans="1:9" x14ac:dyDescent="0.25">
      <c r="A322" t="s">
        <v>331</v>
      </c>
      <c r="B322" s="10">
        <v>11994.079563754722</v>
      </c>
      <c r="C322" s="10"/>
      <c r="D322" s="11">
        <f>IF(AND(ChartTable[[#This Row],[Valor Encerrado]]=0, ChartTable[[#This Row],[Valor Ativo]]=""), 1, 0)</f>
        <v>0</v>
      </c>
      <c r="E322" s="11">
        <f>IF(AND(ChartTable[[#This Row],[Valor Ativo]]&lt;&gt;"", ChartTable[[#This Row],[Valor Encerrado]]=""), 1, 0)</f>
        <v>1</v>
      </c>
      <c r="F322" s="11">
        <f>IF(AND(ChartTable[[#This Row],[Novo?]]=0, ChartTable[[#This Row],[Valor Ativo]]&lt;&gt;ChartTable[[#This Row],[Valor Encerrado]]), 1, 0)</f>
        <v>0</v>
      </c>
      <c r="G322" s="18" t="str">
        <f>IF(ChartTable[[#This Row],[Mudou?]]=1, ChartTable[[#This Row],[Valor Encerrado]]-ChartTable[[#This Row],[Valor Ativo]], "")</f>
        <v/>
      </c>
      <c r="H322" s="11" t="str">
        <f>IF(ChartTable[[#This Row],[Mudou?]]=1, IF(ChartTable[[#This Row],[Diferença]]&gt;0, "aumentou", "diminuiu"), "")</f>
        <v/>
      </c>
      <c r="I322" s="11" t="str" cm="1">
        <f t="array" ref="I322">_xlfn.IFS(ChartTable[[#This Row],[Exluido?]]=1,"Excluido",ChartTable[[#This Row],[Novo?]]=1, "Novo", ChartTable[[#This Row],[Mudou?]]=1, "Mudou")</f>
        <v>Novo</v>
      </c>
    </row>
    <row r="323" spans="1:9" x14ac:dyDescent="0.25">
      <c r="A323" t="s">
        <v>332</v>
      </c>
      <c r="B323" s="10">
        <v>11994.079563754722</v>
      </c>
      <c r="C323" s="10"/>
      <c r="D323" s="11">
        <f>IF(AND(ChartTable[[#This Row],[Valor Encerrado]]=0, ChartTable[[#This Row],[Valor Ativo]]=""), 1, 0)</f>
        <v>0</v>
      </c>
      <c r="E323" s="11">
        <f>IF(AND(ChartTable[[#This Row],[Valor Ativo]]&lt;&gt;"", ChartTable[[#This Row],[Valor Encerrado]]=""), 1, 0)</f>
        <v>1</v>
      </c>
      <c r="F323" s="11">
        <f>IF(AND(ChartTable[[#This Row],[Novo?]]=0, ChartTable[[#This Row],[Valor Ativo]]&lt;&gt;ChartTable[[#This Row],[Valor Encerrado]]), 1, 0)</f>
        <v>0</v>
      </c>
      <c r="G323" s="18" t="str">
        <f>IF(ChartTable[[#This Row],[Mudou?]]=1, ChartTable[[#This Row],[Valor Encerrado]]-ChartTable[[#This Row],[Valor Ativo]], "")</f>
        <v/>
      </c>
      <c r="H323" s="11" t="str">
        <f>IF(ChartTable[[#This Row],[Mudou?]]=1, IF(ChartTable[[#This Row],[Diferença]]&gt;0, "aumentou", "diminuiu"), "")</f>
        <v/>
      </c>
      <c r="I323" s="11" t="str" cm="1">
        <f t="array" ref="I323">_xlfn.IFS(ChartTable[[#This Row],[Exluido?]]=1,"Excluido",ChartTable[[#This Row],[Novo?]]=1, "Novo", ChartTable[[#This Row],[Mudou?]]=1, "Mudou")</f>
        <v>Novo</v>
      </c>
    </row>
    <row r="324" spans="1:9" x14ac:dyDescent="0.25">
      <c r="A324" t="s">
        <v>333</v>
      </c>
      <c r="B324" s="10">
        <v>11994.079563754722</v>
      </c>
      <c r="C324" s="10"/>
      <c r="D324" s="11">
        <f>IF(AND(ChartTable[[#This Row],[Valor Encerrado]]=0, ChartTable[[#This Row],[Valor Ativo]]=""), 1, 0)</f>
        <v>0</v>
      </c>
      <c r="E324" s="11">
        <f>IF(AND(ChartTable[[#This Row],[Valor Ativo]]&lt;&gt;"", ChartTable[[#This Row],[Valor Encerrado]]=""), 1, 0)</f>
        <v>1</v>
      </c>
      <c r="F324" s="11">
        <f>IF(AND(ChartTable[[#This Row],[Novo?]]=0, ChartTable[[#This Row],[Valor Ativo]]&lt;&gt;ChartTable[[#This Row],[Valor Encerrado]]), 1, 0)</f>
        <v>0</v>
      </c>
      <c r="G324" s="18" t="str">
        <f>IF(ChartTable[[#This Row],[Mudou?]]=1, ChartTable[[#This Row],[Valor Encerrado]]-ChartTable[[#This Row],[Valor Ativo]], "")</f>
        <v/>
      </c>
      <c r="H324" s="11" t="str">
        <f>IF(ChartTable[[#This Row],[Mudou?]]=1, IF(ChartTable[[#This Row],[Diferença]]&gt;0, "aumentou", "diminuiu"), "")</f>
        <v/>
      </c>
      <c r="I324" s="11" t="str" cm="1">
        <f t="array" ref="I324">_xlfn.IFS(ChartTable[[#This Row],[Exluido?]]=1,"Excluido",ChartTable[[#This Row],[Novo?]]=1, "Novo", ChartTable[[#This Row],[Mudou?]]=1, "Mudou")</f>
        <v>Novo</v>
      </c>
    </row>
    <row r="325" spans="1:9" x14ac:dyDescent="0.25">
      <c r="A325" t="s">
        <v>334</v>
      </c>
      <c r="B325" s="10">
        <v>11994.079563754722</v>
      </c>
      <c r="C325" s="10"/>
      <c r="D325" s="11">
        <f>IF(AND(ChartTable[[#This Row],[Valor Encerrado]]=0, ChartTable[[#This Row],[Valor Ativo]]=""), 1, 0)</f>
        <v>0</v>
      </c>
      <c r="E325" s="11">
        <f>IF(AND(ChartTable[[#This Row],[Valor Ativo]]&lt;&gt;"", ChartTable[[#This Row],[Valor Encerrado]]=""), 1, 0)</f>
        <v>1</v>
      </c>
      <c r="F325" s="11">
        <f>IF(AND(ChartTable[[#This Row],[Novo?]]=0, ChartTable[[#This Row],[Valor Ativo]]&lt;&gt;ChartTable[[#This Row],[Valor Encerrado]]), 1, 0)</f>
        <v>0</v>
      </c>
      <c r="G325" s="18" t="str">
        <f>IF(ChartTable[[#This Row],[Mudou?]]=1, ChartTable[[#This Row],[Valor Encerrado]]-ChartTable[[#This Row],[Valor Ativo]], "")</f>
        <v/>
      </c>
      <c r="H325" s="11" t="str">
        <f>IF(ChartTable[[#This Row],[Mudou?]]=1, IF(ChartTable[[#This Row],[Diferença]]&gt;0, "aumentou", "diminuiu"), "")</f>
        <v/>
      </c>
      <c r="I325" s="11" t="str" cm="1">
        <f t="array" ref="I325">_xlfn.IFS(ChartTable[[#This Row],[Exluido?]]=1,"Excluido",ChartTable[[#This Row],[Novo?]]=1, "Novo", ChartTable[[#This Row],[Mudou?]]=1, "Mudou")</f>
        <v>Novo</v>
      </c>
    </row>
    <row r="326" spans="1:9" x14ac:dyDescent="0.25">
      <c r="A326" t="s">
        <v>335</v>
      </c>
      <c r="B326" s="10">
        <v>11994.079563754722</v>
      </c>
      <c r="C326" s="10"/>
      <c r="D326" s="11">
        <f>IF(AND(ChartTable[[#This Row],[Valor Encerrado]]=0, ChartTable[[#This Row],[Valor Ativo]]=""), 1, 0)</f>
        <v>0</v>
      </c>
      <c r="E326" s="11">
        <f>IF(AND(ChartTable[[#This Row],[Valor Ativo]]&lt;&gt;"", ChartTable[[#This Row],[Valor Encerrado]]=""), 1, 0)</f>
        <v>1</v>
      </c>
      <c r="F326" s="11">
        <f>IF(AND(ChartTable[[#This Row],[Novo?]]=0, ChartTable[[#This Row],[Valor Ativo]]&lt;&gt;ChartTable[[#This Row],[Valor Encerrado]]), 1, 0)</f>
        <v>0</v>
      </c>
      <c r="G326" s="18" t="str">
        <f>IF(ChartTable[[#This Row],[Mudou?]]=1, ChartTable[[#This Row],[Valor Encerrado]]-ChartTable[[#This Row],[Valor Ativo]], "")</f>
        <v/>
      </c>
      <c r="H326" s="11" t="str">
        <f>IF(ChartTable[[#This Row],[Mudou?]]=1, IF(ChartTable[[#This Row],[Diferença]]&gt;0, "aumentou", "diminuiu"), "")</f>
        <v/>
      </c>
      <c r="I326" s="11" t="str" cm="1">
        <f t="array" ref="I326">_xlfn.IFS(ChartTable[[#This Row],[Exluido?]]=1,"Excluido",ChartTable[[#This Row],[Novo?]]=1, "Novo", ChartTable[[#This Row],[Mudou?]]=1, "Mudou")</f>
        <v>Novo</v>
      </c>
    </row>
    <row r="327" spans="1:9" x14ac:dyDescent="0.25">
      <c r="A327" t="s">
        <v>336</v>
      </c>
      <c r="B327" s="10">
        <v>11994.079563754722</v>
      </c>
      <c r="C327" s="10"/>
      <c r="D327" s="11">
        <f>IF(AND(ChartTable[[#This Row],[Valor Encerrado]]=0, ChartTable[[#This Row],[Valor Ativo]]=""), 1, 0)</f>
        <v>0</v>
      </c>
      <c r="E327" s="11">
        <f>IF(AND(ChartTable[[#This Row],[Valor Ativo]]&lt;&gt;"", ChartTable[[#This Row],[Valor Encerrado]]=""), 1, 0)</f>
        <v>1</v>
      </c>
      <c r="F327" s="11">
        <f>IF(AND(ChartTable[[#This Row],[Novo?]]=0, ChartTable[[#This Row],[Valor Ativo]]&lt;&gt;ChartTable[[#This Row],[Valor Encerrado]]), 1, 0)</f>
        <v>0</v>
      </c>
      <c r="G327" s="18" t="str">
        <f>IF(ChartTable[[#This Row],[Mudou?]]=1, ChartTable[[#This Row],[Valor Encerrado]]-ChartTable[[#This Row],[Valor Ativo]], "")</f>
        <v/>
      </c>
      <c r="H327" s="11" t="str">
        <f>IF(ChartTable[[#This Row],[Mudou?]]=1, IF(ChartTable[[#This Row],[Diferença]]&gt;0, "aumentou", "diminuiu"), "")</f>
        <v/>
      </c>
      <c r="I327" s="11" t="str" cm="1">
        <f t="array" ref="I327">_xlfn.IFS(ChartTable[[#This Row],[Exluido?]]=1,"Excluido",ChartTable[[#This Row],[Novo?]]=1, "Novo", ChartTable[[#This Row],[Mudou?]]=1, "Mudou")</f>
        <v>Novo</v>
      </c>
    </row>
    <row r="328" spans="1:9" x14ac:dyDescent="0.25">
      <c r="A328" t="s">
        <v>337</v>
      </c>
      <c r="B328" s="10">
        <v>11994.079563754722</v>
      </c>
      <c r="C328" s="10"/>
      <c r="D328" s="11">
        <f>IF(AND(ChartTable[[#This Row],[Valor Encerrado]]=0, ChartTable[[#This Row],[Valor Ativo]]=""), 1, 0)</f>
        <v>0</v>
      </c>
      <c r="E328" s="11">
        <f>IF(AND(ChartTable[[#This Row],[Valor Ativo]]&lt;&gt;"", ChartTable[[#This Row],[Valor Encerrado]]=""), 1, 0)</f>
        <v>1</v>
      </c>
      <c r="F328" s="11">
        <f>IF(AND(ChartTable[[#This Row],[Novo?]]=0, ChartTable[[#This Row],[Valor Ativo]]&lt;&gt;ChartTable[[#This Row],[Valor Encerrado]]), 1, 0)</f>
        <v>0</v>
      </c>
      <c r="G328" s="18" t="str">
        <f>IF(ChartTable[[#This Row],[Mudou?]]=1, ChartTable[[#This Row],[Valor Encerrado]]-ChartTable[[#This Row],[Valor Ativo]], "")</f>
        <v/>
      </c>
      <c r="H328" s="11" t="str">
        <f>IF(ChartTable[[#This Row],[Mudou?]]=1, IF(ChartTable[[#This Row],[Diferença]]&gt;0, "aumentou", "diminuiu"), "")</f>
        <v/>
      </c>
      <c r="I328" s="11" t="str" cm="1">
        <f t="array" ref="I328">_xlfn.IFS(ChartTable[[#This Row],[Exluido?]]=1,"Excluido",ChartTable[[#This Row],[Novo?]]=1, "Novo", ChartTable[[#This Row],[Mudou?]]=1, "Mudou")</f>
        <v>Novo</v>
      </c>
    </row>
    <row r="329" spans="1:9" x14ac:dyDescent="0.25">
      <c r="A329" t="s">
        <v>338</v>
      </c>
      <c r="B329" s="10">
        <v>11994.079563754722</v>
      </c>
      <c r="C329" s="10"/>
      <c r="D329" s="11">
        <f>IF(AND(ChartTable[[#This Row],[Valor Encerrado]]=0, ChartTable[[#This Row],[Valor Ativo]]=""), 1, 0)</f>
        <v>0</v>
      </c>
      <c r="E329" s="11">
        <f>IF(AND(ChartTable[[#This Row],[Valor Ativo]]&lt;&gt;"", ChartTable[[#This Row],[Valor Encerrado]]=""), 1, 0)</f>
        <v>1</v>
      </c>
      <c r="F329" s="11">
        <f>IF(AND(ChartTable[[#This Row],[Novo?]]=0, ChartTable[[#This Row],[Valor Ativo]]&lt;&gt;ChartTable[[#This Row],[Valor Encerrado]]), 1, 0)</f>
        <v>0</v>
      </c>
      <c r="G329" s="18" t="str">
        <f>IF(ChartTable[[#This Row],[Mudou?]]=1, ChartTable[[#This Row],[Valor Encerrado]]-ChartTable[[#This Row],[Valor Ativo]], "")</f>
        <v/>
      </c>
      <c r="H329" s="11" t="str">
        <f>IF(ChartTable[[#This Row],[Mudou?]]=1, IF(ChartTable[[#This Row],[Diferença]]&gt;0, "aumentou", "diminuiu"), "")</f>
        <v/>
      </c>
      <c r="I329" s="11" t="str" cm="1">
        <f t="array" ref="I329">_xlfn.IFS(ChartTable[[#This Row],[Exluido?]]=1,"Excluido",ChartTable[[#This Row],[Novo?]]=1, "Novo", ChartTable[[#This Row],[Mudou?]]=1, "Mudou")</f>
        <v>Novo</v>
      </c>
    </row>
    <row r="330" spans="1:9" x14ac:dyDescent="0.25">
      <c r="A330" t="s">
        <v>339</v>
      </c>
      <c r="B330" s="10">
        <v>11994.079563754722</v>
      </c>
      <c r="C330" s="10"/>
      <c r="D330" s="11">
        <f>IF(AND(ChartTable[[#This Row],[Valor Encerrado]]=0, ChartTable[[#This Row],[Valor Ativo]]=""), 1, 0)</f>
        <v>0</v>
      </c>
      <c r="E330" s="11">
        <f>IF(AND(ChartTable[[#This Row],[Valor Ativo]]&lt;&gt;"", ChartTable[[#This Row],[Valor Encerrado]]=""), 1, 0)</f>
        <v>1</v>
      </c>
      <c r="F330" s="11">
        <f>IF(AND(ChartTable[[#This Row],[Novo?]]=0, ChartTable[[#This Row],[Valor Ativo]]&lt;&gt;ChartTable[[#This Row],[Valor Encerrado]]), 1, 0)</f>
        <v>0</v>
      </c>
      <c r="G330" s="18" t="str">
        <f>IF(ChartTable[[#This Row],[Mudou?]]=1, ChartTable[[#This Row],[Valor Encerrado]]-ChartTable[[#This Row],[Valor Ativo]], "")</f>
        <v/>
      </c>
      <c r="H330" s="11" t="str">
        <f>IF(ChartTable[[#This Row],[Mudou?]]=1, IF(ChartTable[[#This Row],[Diferença]]&gt;0, "aumentou", "diminuiu"), "")</f>
        <v/>
      </c>
      <c r="I330" s="11" t="str" cm="1">
        <f t="array" ref="I330">_xlfn.IFS(ChartTable[[#This Row],[Exluido?]]=1,"Excluido",ChartTable[[#This Row],[Novo?]]=1, "Novo", ChartTable[[#This Row],[Mudou?]]=1, "Mudou")</f>
        <v>Novo</v>
      </c>
    </row>
    <row r="331" spans="1:9" x14ac:dyDescent="0.25">
      <c r="A331" t="s">
        <v>340</v>
      </c>
      <c r="B331" s="10">
        <v>11994.079563754722</v>
      </c>
      <c r="C331" s="10"/>
      <c r="D331" s="11">
        <f>IF(AND(ChartTable[[#This Row],[Valor Encerrado]]=0, ChartTable[[#This Row],[Valor Ativo]]=""), 1, 0)</f>
        <v>0</v>
      </c>
      <c r="E331" s="11">
        <f>IF(AND(ChartTable[[#This Row],[Valor Ativo]]&lt;&gt;"", ChartTable[[#This Row],[Valor Encerrado]]=""), 1, 0)</f>
        <v>1</v>
      </c>
      <c r="F331" s="11">
        <f>IF(AND(ChartTable[[#This Row],[Novo?]]=0, ChartTable[[#This Row],[Valor Ativo]]&lt;&gt;ChartTable[[#This Row],[Valor Encerrado]]), 1, 0)</f>
        <v>0</v>
      </c>
      <c r="G331" s="18" t="str">
        <f>IF(ChartTable[[#This Row],[Mudou?]]=1, ChartTable[[#This Row],[Valor Encerrado]]-ChartTable[[#This Row],[Valor Ativo]], "")</f>
        <v/>
      </c>
      <c r="H331" s="11" t="str">
        <f>IF(ChartTable[[#This Row],[Mudou?]]=1, IF(ChartTable[[#This Row],[Diferença]]&gt;0, "aumentou", "diminuiu"), "")</f>
        <v/>
      </c>
      <c r="I331" s="11" t="str" cm="1">
        <f t="array" ref="I331">_xlfn.IFS(ChartTable[[#This Row],[Exluido?]]=1,"Excluido",ChartTable[[#This Row],[Novo?]]=1, "Novo", ChartTable[[#This Row],[Mudou?]]=1, "Mudou")</f>
        <v>Novo</v>
      </c>
    </row>
    <row r="332" spans="1:9" x14ac:dyDescent="0.25">
      <c r="A332" t="s">
        <v>341</v>
      </c>
      <c r="B332" s="10">
        <v>11994.079563754722</v>
      </c>
      <c r="C332" s="10"/>
      <c r="D332" s="11">
        <f>IF(AND(ChartTable[[#This Row],[Valor Encerrado]]=0, ChartTable[[#This Row],[Valor Ativo]]=""), 1, 0)</f>
        <v>0</v>
      </c>
      <c r="E332" s="11">
        <f>IF(AND(ChartTable[[#This Row],[Valor Ativo]]&lt;&gt;"", ChartTable[[#This Row],[Valor Encerrado]]=""), 1, 0)</f>
        <v>1</v>
      </c>
      <c r="F332" s="11">
        <f>IF(AND(ChartTable[[#This Row],[Novo?]]=0, ChartTable[[#This Row],[Valor Ativo]]&lt;&gt;ChartTable[[#This Row],[Valor Encerrado]]), 1, 0)</f>
        <v>0</v>
      </c>
      <c r="G332" s="18" t="str">
        <f>IF(ChartTable[[#This Row],[Mudou?]]=1, ChartTable[[#This Row],[Valor Encerrado]]-ChartTable[[#This Row],[Valor Ativo]], "")</f>
        <v/>
      </c>
      <c r="H332" s="11" t="str">
        <f>IF(ChartTable[[#This Row],[Mudou?]]=1, IF(ChartTable[[#This Row],[Diferença]]&gt;0, "aumentou", "diminuiu"), "")</f>
        <v/>
      </c>
      <c r="I332" s="11" t="str" cm="1">
        <f t="array" ref="I332">_xlfn.IFS(ChartTable[[#This Row],[Exluido?]]=1,"Excluido",ChartTable[[#This Row],[Novo?]]=1, "Novo", ChartTable[[#This Row],[Mudou?]]=1, "Mudou")</f>
        <v>Novo</v>
      </c>
    </row>
    <row r="333" spans="1:9" x14ac:dyDescent="0.25">
      <c r="A333" t="s">
        <v>342</v>
      </c>
      <c r="B333" s="10">
        <v>11994.079563754722</v>
      </c>
      <c r="C333" s="10"/>
      <c r="D333" s="11">
        <f>IF(AND(ChartTable[[#This Row],[Valor Encerrado]]=0, ChartTable[[#This Row],[Valor Ativo]]=""), 1, 0)</f>
        <v>0</v>
      </c>
      <c r="E333" s="11">
        <f>IF(AND(ChartTable[[#This Row],[Valor Ativo]]&lt;&gt;"", ChartTable[[#This Row],[Valor Encerrado]]=""), 1, 0)</f>
        <v>1</v>
      </c>
      <c r="F333" s="11">
        <f>IF(AND(ChartTable[[#This Row],[Novo?]]=0, ChartTable[[#This Row],[Valor Ativo]]&lt;&gt;ChartTable[[#This Row],[Valor Encerrado]]), 1, 0)</f>
        <v>0</v>
      </c>
      <c r="G333" s="18" t="str">
        <f>IF(ChartTable[[#This Row],[Mudou?]]=1, ChartTable[[#This Row],[Valor Encerrado]]-ChartTable[[#This Row],[Valor Ativo]], "")</f>
        <v/>
      </c>
      <c r="H333" s="11" t="str">
        <f>IF(ChartTable[[#This Row],[Mudou?]]=1, IF(ChartTable[[#This Row],[Diferença]]&gt;0, "aumentou", "diminuiu"), "")</f>
        <v/>
      </c>
      <c r="I333" s="11" t="str" cm="1">
        <f t="array" ref="I333">_xlfn.IFS(ChartTable[[#This Row],[Exluido?]]=1,"Excluido",ChartTable[[#This Row],[Novo?]]=1, "Novo", ChartTable[[#This Row],[Mudou?]]=1, "Mudou")</f>
        <v>Novo</v>
      </c>
    </row>
    <row r="334" spans="1:9" x14ac:dyDescent="0.25">
      <c r="A334" t="s">
        <v>343</v>
      </c>
      <c r="B334" s="10">
        <v>11994.079563754722</v>
      </c>
      <c r="C334" s="10"/>
      <c r="D334" s="11">
        <f>IF(AND(ChartTable[[#This Row],[Valor Encerrado]]=0, ChartTable[[#This Row],[Valor Ativo]]=""), 1, 0)</f>
        <v>0</v>
      </c>
      <c r="E334" s="11">
        <f>IF(AND(ChartTable[[#This Row],[Valor Ativo]]&lt;&gt;"", ChartTable[[#This Row],[Valor Encerrado]]=""), 1, 0)</f>
        <v>1</v>
      </c>
      <c r="F334" s="11">
        <f>IF(AND(ChartTable[[#This Row],[Novo?]]=0, ChartTable[[#This Row],[Valor Ativo]]&lt;&gt;ChartTable[[#This Row],[Valor Encerrado]]), 1, 0)</f>
        <v>0</v>
      </c>
      <c r="G334" s="18" t="str">
        <f>IF(ChartTable[[#This Row],[Mudou?]]=1, ChartTable[[#This Row],[Valor Encerrado]]-ChartTable[[#This Row],[Valor Ativo]], "")</f>
        <v/>
      </c>
      <c r="H334" s="11" t="str">
        <f>IF(ChartTable[[#This Row],[Mudou?]]=1, IF(ChartTable[[#This Row],[Diferença]]&gt;0, "aumentou", "diminuiu"), "")</f>
        <v/>
      </c>
      <c r="I334" s="11" t="str" cm="1">
        <f t="array" ref="I334">_xlfn.IFS(ChartTable[[#This Row],[Exluido?]]=1,"Excluido",ChartTable[[#This Row],[Novo?]]=1, "Novo", ChartTable[[#This Row],[Mudou?]]=1, "Mudou")</f>
        <v>Novo</v>
      </c>
    </row>
    <row r="335" spans="1:9" x14ac:dyDescent="0.25">
      <c r="A335" t="s">
        <v>344</v>
      </c>
      <c r="B335" s="10">
        <v>11994.079563754722</v>
      </c>
      <c r="C335" s="10"/>
      <c r="D335" s="11">
        <f>IF(AND(ChartTable[[#This Row],[Valor Encerrado]]=0, ChartTable[[#This Row],[Valor Ativo]]=""), 1, 0)</f>
        <v>0</v>
      </c>
      <c r="E335" s="11">
        <f>IF(AND(ChartTable[[#This Row],[Valor Ativo]]&lt;&gt;"", ChartTable[[#This Row],[Valor Encerrado]]=""), 1, 0)</f>
        <v>1</v>
      </c>
      <c r="F335" s="11">
        <f>IF(AND(ChartTable[[#This Row],[Novo?]]=0, ChartTable[[#This Row],[Valor Ativo]]&lt;&gt;ChartTable[[#This Row],[Valor Encerrado]]), 1, 0)</f>
        <v>0</v>
      </c>
      <c r="G335" s="18" t="str">
        <f>IF(ChartTable[[#This Row],[Mudou?]]=1, ChartTable[[#This Row],[Valor Encerrado]]-ChartTable[[#This Row],[Valor Ativo]], "")</f>
        <v/>
      </c>
      <c r="H335" s="11" t="str">
        <f>IF(ChartTable[[#This Row],[Mudou?]]=1, IF(ChartTable[[#This Row],[Diferença]]&gt;0, "aumentou", "diminuiu"), "")</f>
        <v/>
      </c>
      <c r="I335" s="11" t="str" cm="1">
        <f t="array" ref="I335">_xlfn.IFS(ChartTable[[#This Row],[Exluido?]]=1,"Excluido",ChartTable[[#This Row],[Novo?]]=1, "Novo", ChartTable[[#This Row],[Mudou?]]=1, "Mudou")</f>
        <v>Novo</v>
      </c>
    </row>
    <row r="336" spans="1:9" x14ac:dyDescent="0.25">
      <c r="A336" t="s">
        <v>345</v>
      </c>
      <c r="B336" s="10">
        <v>11994.079563754722</v>
      </c>
      <c r="C336" s="10"/>
      <c r="D336" s="11">
        <f>IF(AND(ChartTable[[#This Row],[Valor Encerrado]]=0, ChartTable[[#This Row],[Valor Ativo]]=""), 1, 0)</f>
        <v>0</v>
      </c>
      <c r="E336" s="11">
        <f>IF(AND(ChartTable[[#This Row],[Valor Ativo]]&lt;&gt;"", ChartTable[[#This Row],[Valor Encerrado]]=""), 1, 0)</f>
        <v>1</v>
      </c>
      <c r="F336" s="11">
        <f>IF(AND(ChartTable[[#This Row],[Novo?]]=0, ChartTable[[#This Row],[Valor Ativo]]&lt;&gt;ChartTable[[#This Row],[Valor Encerrado]]), 1, 0)</f>
        <v>0</v>
      </c>
      <c r="G336" s="18" t="str">
        <f>IF(ChartTable[[#This Row],[Mudou?]]=1, ChartTable[[#This Row],[Valor Encerrado]]-ChartTable[[#This Row],[Valor Ativo]], "")</f>
        <v/>
      </c>
      <c r="H336" s="11" t="str">
        <f>IF(ChartTable[[#This Row],[Mudou?]]=1, IF(ChartTable[[#This Row],[Diferença]]&gt;0, "aumentou", "diminuiu"), "")</f>
        <v/>
      </c>
      <c r="I336" s="11" t="str" cm="1">
        <f t="array" ref="I336">_xlfn.IFS(ChartTable[[#This Row],[Exluido?]]=1,"Excluido",ChartTable[[#This Row],[Novo?]]=1, "Novo", ChartTable[[#This Row],[Mudou?]]=1, "Mudou")</f>
        <v>Novo</v>
      </c>
    </row>
    <row r="337" spans="1:9" x14ac:dyDescent="0.25">
      <c r="A337" t="s">
        <v>346</v>
      </c>
      <c r="B337" s="10">
        <v>11994.079563754722</v>
      </c>
      <c r="C337" s="10"/>
      <c r="D337" s="11">
        <f>IF(AND(ChartTable[[#This Row],[Valor Encerrado]]=0, ChartTable[[#This Row],[Valor Ativo]]=""), 1, 0)</f>
        <v>0</v>
      </c>
      <c r="E337" s="11">
        <f>IF(AND(ChartTable[[#This Row],[Valor Ativo]]&lt;&gt;"", ChartTable[[#This Row],[Valor Encerrado]]=""), 1, 0)</f>
        <v>1</v>
      </c>
      <c r="F337" s="11">
        <f>IF(AND(ChartTable[[#This Row],[Novo?]]=0, ChartTable[[#This Row],[Valor Ativo]]&lt;&gt;ChartTable[[#This Row],[Valor Encerrado]]), 1, 0)</f>
        <v>0</v>
      </c>
      <c r="G337" s="18" t="str">
        <f>IF(ChartTable[[#This Row],[Mudou?]]=1, ChartTable[[#This Row],[Valor Encerrado]]-ChartTable[[#This Row],[Valor Ativo]], "")</f>
        <v/>
      </c>
      <c r="H337" s="11" t="str">
        <f>IF(ChartTable[[#This Row],[Mudou?]]=1, IF(ChartTable[[#This Row],[Diferença]]&gt;0, "aumentou", "diminuiu"), "")</f>
        <v/>
      </c>
      <c r="I337" s="11" t="str" cm="1">
        <f t="array" ref="I337">_xlfn.IFS(ChartTable[[#This Row],[Exluido?]]=1,"Excluido",ChartTable[[#This Row],[Novo?]]=1, "Novo", ChartTable[[#This Row],[Mudou?]]=1, "Mudou")</f>
        <v>Novo</v>
      </c>
    </row>
    <row r="338" spans="1:9" x14ac:dyDescent="0.25">
      <c r="A338" t="s">
        <v>347</v>
      </c>
      <c r="B338" s="10">
        <v>11994.079563754722</v>
      </c>
      <c r="C338" s="10"/>
      <c r="D338" s="11">
        <f>IF(AND(ChartTable[[#This Row],[Valor Encerrado]]=0, ChartTable[[#This Row],[Valor Ativo]]=""), 1, 0)</f>
        <v>0</v>
      </c>
      <c r="E338" s="11">
        <f>IF(AND(ChartTable[[#This Row],[Valor Ativo]]&lt;&gt;"", ChartTable[[#This Row],[Valor Encerrado]]=""), 1, 0)</f>
        <v>1</v>
      </c>
      <c r="F338" s="11">
        <f>IF(AND(ChartTable[[#This Row],[Novo?]]=0, ChartTable[[#This Row],[Valor Ativo]]&lt;&gt;ChartTable[[#This Row],[Valor Encerrado]]), 1, 0)</f>
        <v>0</v>
      </c>
      <c r="G338" s="18" t="str">
        <f>IF(ChartTable[[#This Row],[Mudou?]]=1, ChartTable[[#This Row],[Valor Encerrado]]-ChartTable[[#This Row],[Valor Ativo]], "")</f>
        <v/>
      </c>
      <c r="H338" s="11" t="str">
        <f>IF(ChartTable[[#This Row],[Mudou?]]=1, IF(ChartTable[[#This Row],[Diferença]]&gt;0, "aumentou", "diminuiu"), "")</f>
        <v/>
      </c>
      <c r="I338" s="11" t="str" cm="1">
        <f t="array" ref="I338">_xlfn.IFS(ChartTable[[#This Row],[Exluido?]]=1,"Excluido",ChartTable[[#This Row],[Novo?]]=1, "Novo", ChartTable[[#This Row],[Mudou?]]=1, "Mudou")</f>
        <v>Novo</v>
      </c>
    </row>
    <row r="339" spans="1:9" x14ac:dyDescent="0.25">
      <c r="A339" t="s">
        <v>348</v>
      </c>
      <c r="B339" s="10">
        <v>11994.079563754722</v>
      </c>
      <c r="C339" s="10"/>
      <c r="D339" s="11">
        <f>IF(AND(ChartTable[[#This Row],[Valor Encerrado]]=0, ChartTable[[#This Row],[Valor Ativo]]=""), 1, 0)</f>
        <v>0</v>
      </c>
      <c r="E339" s="11">
        <f>IF(AND(ChartTable[[#This Row],[Valor Ativo]]&lt;&gt;"", ChartTable[[#This Row],[Valor Encerrado]]=""), 1, 0)</f>
        <v>1</v>
      </c>
      <c r="F339" s="11">
        <f>IF(AND(ChartTable[[#This Row],[Novo?]]=0, ChartTable[[#This Row],[Valor Ativo]]&lt;&gt;ChartTable[[#This Row],[Valor Encerrado]]), 1, 0)</f>
        <v>0</v>
      </c>
      <c r="G339" s="18" t="str">
        <f>IF(ChartTable[[#This Row],[Mudou?]]=1, ChartTable[[#This Row],[Valor Encerrado]]-ChartTable[[#This Row],[Valor Ativo]], "")</f>
        <v/>
      </c>
      <c r="H339" s="11" t="str">
        <f>IF(ChartTable[[#This Row],[Mudou?]]=1, IF(ChartTable[[#This Row],[Diferença]]&gt;0, "aumentou", "diminuiu"), "")</f>
        <v/>
      </c>
      <c r="I339" s="11" t="str" cm="1">
        <f t="array" ref="I339">_xlfn.IFS(ChartTable[[#This Row],[Exluido?]]=1,"Excluido",ChartTable[[#This Row],[Novo?]]=1, "Novo", ChartTable[[#This Row],[Mudou?]]=1, "Mudou")</f>
        <v>Novo</v>
      </c>
    </row>
    <row r="340" spans="1:9" x14ac:dyDescent="0.25">
      <c r="A340" t="s">
        <v>349</v>
      </c>
      <c r="B340" s="10">
        <v>11994.079563754722</v>
      </c>
      <c r="C340" s="10"/>
      <c r="D340" s="11">
        <f>IF(AND(ChartTable[[#This Row],[Valor Encerrado]]=0, ChartTable[[#This Row],[Valor Ativo]]=""), 1, 0)</f>
        <v>0</v>
      </c>
      <c r="E340" s="11">
        <f>IF(AND(ChartTable[[#This Row],[Valor Ativo]]&lt;&gt;"", ChartTable[[#This Row],[Valor Encerrado]]=""), 1, 0)</f>
        <v>1</v>
      </c>
      <c r="F340" s="11">
        <f>IF(AND(ChartTable[[#This Row],[Novo?]]=0, ChartTable[[#This Row],[Valor Ativo]]&lt;&gt;ChartTable[[#This Row],[Valor Encerrado]]), 1, 0)</f>
        <v>0</v>
      </c>
      <c r="G340" s="18" t="str">
        <f>IF(ChartTable[[#This Row],[Mudou?]]=1, ChartTable[[#This Row],[Valor Encerrado]]-ChartTable[[#This Row],[Valor Ativo]], "")</f>
        <v/>
      </c>
      <c r="H340" s="11" t="str">
        <f>IF(ChartTable[[#This Row],[Mudou?]]=1, IF(ChartTable[[#This Row],[Diferença]]&gt;0, "aumentou", "diminuiu"), "")</f>
        <v/>
      </c>
      <c r="I340" s="11" t="str" cm="1">
        <f t="array" ref="I340">_xlfn.IFS(ChartTable[[#This Row],[Exluido?]]=1,"Excluido",ChartTable[[#This Row],[Novo?]]=1, "Novo", ChartTable[[#This Row],[Mudou?]]=1, "Mudou")</f>
        <v>Novo</v>
      </c>
    </row>
    <row r="341" spans="1:9" x14ac:dyDescent="0.25">
      <c r="A341" t="s">
        <v>350</v>
      </c>
      <c r="B341" s="10">
        <v>11994.079563754722</v>
      </c>
      <c r="C341" s="10"/>
      <c r="D341" s="11">
        <f>IF(AND(ChartTable[[#This Row],[Valor Encerrado]]=0, ChartTable[[#This Row],[Valor Ativo]]=""), 1, 0)</f>
        <v>0</v>
      </c>
      <c r="E341" s="11">
        <f>IF(AND(ChartTable[[#This Row],[Valor Ativo]]&lt;&gt;"", ChartTable[[#This Row],[Valor Encerrado]]=""), 1, 0)</f>
        <v>1</v>
      </c>
      <c r="F341" s="11">
        <f>IF(AND(ChartTable[[#This Row],[Novo?]]=0, ChartTable[[#This Row],[Valor Ativo]]&lt;&gt;ChartTable[[#This Row],[Valor Encerrado]]), 1, 0)</f>
        <v>0</v>
      </c>
      <c r="G341" s="18" t="str">
        <f>IF(ChartTable[[#This Row],[Mudou?]]=1, ChartTable[[#This Row],[Valor Encerrado]]-ChartTable[[#This Row],[Valor Ativo]], "")</f>
        <v/>
      </c>
      <c r="H341" s="11" t="str">
        <f>IF(ChartTable[[#This Row],[Mudou?]]=1, IF(ChartTable[[#This Row],[Diferença]]&gt;0, "aumentou", "diminuiu"), "")</f>
        <v/>
      </c>
      <c r="I341" s="11" t="str" cm="1">
        <f t="array" ref="I341">_xlfn.IFS(ChartTable[[#This Row],[Exluido?]]=1,"Excluido",ChartTable[[#This Row],[Novo?]]=1, "Novo", ChartTable[[#This Row],[Mudou?]]=1, "Mudou")</f>
        <v>Novo</v>
      </c>
    </row>
    <row r="342" spans="1:9" x14ac:dyDescent="0.25">
      <c r="A342" t="s">
        <v>351</v>
      </c>
      <c r="B342" s="10">
        <v>11994.079563754722</v>
      </c>
      <c r="C342" s="10"/>
      <c r="D342" s="11">
        <f>IF(AND(ChartTable[[#This Row],[Valor Encerrado]]=0, ChartTable[[#This Row],[Valor Ativo]]=""), 1, 0)</f>
        <v>0</v>
      </c>
      <c r="E342" s="11">
        <f>IF(AND(ChartTable[[#This Row],[Valor Ativo]]&lt;&gt;"", ChartTable[[#This Row],[Valor Encerrado]]=""), 1, 0)</f>
        <v>1</v>
      </c>
      <c r="F342" s="11">
        <f>IF(AND(ChartTable[[#This Row],[Novo?]]=0, ChartTable[[#This Row],[Valor Ativo]]&lt;&gt;ChartTable[[#This Row],[Valor Encerrado]]), 1, 0)</f>
        <v>0</v>
      </c>
      <c r="G342" s="18" t="str">
        <f>IF(ChartTable[[#This Row],[Mudou?]]=1, ChartTable[[#This Row],[Valor Encerrado]]-ChartTable[[#This Row],[Valor Ativo]], "")</f>
        <v/>
      </c>
      <c r="H342" s="11" t="str">
        <f>IF(ChartTable[[#This Row],[Mudou?]]=1, IF(ChartTable[[#This Row],[Diferença]]&gt;0, "aumentou", "diminuiu"), "")</f>
        <v/>
      </c>
      <c r="I342" s="11" t="str" cm="1">
        <f t="array" ref="I342">_xlfn.IFS(ChartTable[[#This Row],[Exluido?]]=1,"Excluido",ChartTable[[#This Row],[Novo?]]=1, "Novo", ChartTable[[#This Row],[Mudou?]]=1, "Mudou")</f>
        <v>Novo</v>
      </c>
    </row>
    <row r="343" spans="1:9" x14ac:dyDescent="0.25">
      <c r="A343" t="s">
        <v>352</v>
      </c>
      <c r="B343" s="10">
        <v>11994.079563754722</v>
      </c>
      <c r="C343" s="10"/>
      <c r="D343" s="11">
        <f>IF(AND(ChartTable[[#This Row],[Valor Encerrado]]=0, ChartTable[[#This Row],[Valor Ativo]]=""), 1, 0)</f>
        <v>0</v>
      </c>
      <c r="E343" s="11">
        <f>IF(AND(ChartTable[[#This Row],[Valor Ativo]]&lt;&gt;"", ChartTable[[#This Row],[Valor Encerrado]]=""), 1, 0)</f>
        <v>1</v>
      </c>
      <c r="F343" s="11">
        <f>IF(AND(ChartTable[[#This Row],[Novo?]]=0, ChartTable[[#This Row],[Valor Ativo]]&lt;&gt;ChartTable[[#This Row],[Valor Encerrado]]), 1, 0)</f>
        <v>0</v>
      </c>
      <c r="G343" s="18" t="str">
        <f>IF(ChartTable[[#This Row],[Mudou?]]=1, ChartTable[[#This Row],[Valor Encerrado]]-ChartTable[[#This Row],[Valor Ativo]], "")</f>
        <v/>
      </c>
      <c r="H343" s="11" t="str">
        <f>IF(ChartTable[[#This Row],[Mudou?]]=1, IF(ChartTable[[#This Row],[Diferença]]&gt;0, "aumentou", "diminuiu"), "")</f>
        <v/>
      </c>
      <c r="I343" s="11" t="str" cm="1">
        <f t="array" ref="I343">_xlfn.IFS(ChartTable[[#This Row],[Exluido?]]=1,"Excluido",ChartTable[[#This Row],[Novo?]]=1, "Novo", ChartTable[[#This Row],[Mudou?]]=1, "Mudou")</f>
        <v>Novo</v>
      </c>
    </row>
    <row r="344" spans="1:9" x14ac:dyDescent="0.25">
      <c r="A344" t="s">
        <v>353</v>
      </c>
      <c r="B344" s="10">
        <v>11994.079563754722</v>
      </c>
      <c r="C344" s="10"/>
      <c r="D344" s="11">
        <f>IF(AND(ChartTable[[#This Row],[Valor Encerrado]]=0, ChartTable[[#This Row],[Valor Ativo]]=""), 1, 0)</f>
        <v>0</v>
      </c>
      <c r="E344" s="11">
        <f>IF(AND(ChartTable[[#This Row],[Valor Ativo]]&lt;&gt;"", ChartTable[[#This Row],[Valor Encerrado]]=""), 1, 0)</f>
        <v>1</v>
      </c>
      <c r="F344" s="11">
        <f>IF(AND(ChartTable[[#This Row],[Novo?]]=0, ChartTable[[#This Row],[Valor Ativo]]&lt;&gt;ChartTable[[#This Row],[Valor Encerrado]]), 1, 0)</f>
        <v>0</v>
      </c>
      <c r="G344" s="18" t="str">
        <f>IF(ChartTable[[#This Row],[Mudou?]]=1, ChartTable[[#This Row],[Valor Encerrado]]-ChartTable[[#This Row],[Valor Ativo]], "")</f>
        <v/>
      </c>
      <c r="H344" s="11" t="str">
        <f>IF(ChartTable[[#This Row],[Mudou?]]=1, IF(ChartTable[[#This Row],[Diferença]]&gt;0, "aumentou", "diminuiu"), "")</f>
        <v/>
      </c>
      <c r="I344" s="11" t="str" cm="1">
        <f t="array" ref="I344">_xlfn.IFS(ChartTable[[#This Row],[Exluido?]]=1,"Excluido",ChartTable[[#This Row],[Novo?]]=1, "Novo", ChartTable[[#This Row],[Mudou?]]=1, "Mudou")</f>
        <v>Novo</v>
      </c>
    </row>
    <row r="345" spans="1:9" x14ac:dyDescent="0.25">
      <c r="A345" t="s">
        <v>354</v>
      </c>
      <c r="B345" s="10">
        <v>11994.079563754722</v>
      </c>
      <c r="C345" s="10"/>
      <c r="D345" s="11">
        <f>IF(AND(ChartTable[[#This Row],[Valor Encerrado]]=0, ChartTable[[#This Row],[Valor Ativo]]=""), 1, 0)</f>
        <v>0</v>
      </c>
      <c r="E345" s="11">
        <f>IF(AND(ChartTable[[#This Row],[Valor Ativo]]&lt;&gt;"", ChartTable[[#This Row],[Valor Encerrado]]=""), 1, 0)</f>
        <v>1</v>
      </c>
      <c r="F345" s="11">
        <f>IF(AND(ChartTable[[#This Row],[Novo?]]=0, ChartTable[[#This Row],[Valor Ativo]]&lt;&gt;ChartTable[[#This Row],[Valor Encerrado]]), 1, 0)</f>
        <v>0</v>
      </c>
      <c r="G345" s="18" t="str">
        <f>IF(ChartTable[[#This Row],[Mudou?]]=1, ChartTable[[#This Row],[Valor Encerrado]]-ChartTable[[#This Row],[Valor Ativo]], "")</f>
        <v/>
      </c>
      <c r="H345" s="11" t="str">
        <f>IF(ChartTable[[#This Row],[Mudou?]]=1, IF(ChartTable[[#This Row],[Diferença]]&gt;0, "aumentou", "diminuiu"), "")</f>
        <v/>
      </c>
      <c r="I345" s="11" t="str" cm="1">
        <f t="array" ref="I345">_xlfn.IFS(ChartTable[[#This Row],[Exluido?]]=1,"Excluido",ChartTable[[#This Row],[Novo?]]=1, "Novo", ChartTable[[#This Row],[Mudou?]]=1, "Mudou")</f>
        <v>Novo</v>
      </c>
    </row>
    <row r="346" spans="1:9" x14ac:dyDescent="0.25">
      <c r="A346" t="s">
        <v>355</v>
      </c>
      <c r="B346" s="10">
        <v>11994.079563754722</v>
      </c>
      <c r="C346" s="10"/>
      <c r="D346" s="11">
        <f>IF(AND(ChartTable[[#This Row],[Valor Encerrado]]=0, ChartTable[[#This Row],[Valor Ativo]]=""), 1, 0)</f>
        <v>0</v>
      </c>
      <c r="E346" s="11">
        <f>IF(AND(ChartTable[[#This Row],[Valor Ativo]]&lt;&gt;"", ChartTable[[#This Row],[Valor Encerrado]]=""), 1, 0)</f>
        <v>1</v>
      </c>
      <c r="F346" s="11">
        <f>IF(AND(ChartTable[[#This Row],[Novo?]]=0, ChartTable[[#This Row],[Valor Ativo]]&lt;&gt;ChartTable[[#This Row],[Valor Encerrado]]), 1, 0)</f>
        <v>0</v>
      </c>
      <c r="G346" s="18" t="str">
        <f>IF(ChartTable[[#This Row],[Mudou?]]=1, ChartTable[[#This Row],[Valor Encerrado]]-ChartTable[[#This Row],[Valor Ativo]], "")</f>
        <v/>
      </c>
      <c r="H346" s="11" t="str">
        <f>IF(ChartTable[[#This Row],[Mudou?]]=1, IF(ChartTable[[#This Row],[Diferença]]&gt;0, "aumentou", "diminuiu"), "")</f>
        <v/>
      </c>
      <c r="I346" s="11" t="str" cm="1">
        <f t="array" ref="I346">_xlfn.IFS(ChartTable[[#This Row],[Exluido?]]=1,"Excluido",ChartTable[[#This Row],[Novo?]]=1, "Novo", ChartTable[[#This Row],[Mudou?]]=1, "Mudou")</f>
        <v>Novo</v>
      </c>
    </row>
    <row r="347" spans="1:9" x14ac:dyDescent="0.25">
      <c r="A347" t="s">
        <v>356</v>
      </c>
      <c r="B347" s="10">
        <v>11994.079563754722</v>
      </c>
      <c r="C347" s="10"/>
      <c r="D347" s="11">
        <f>IF(AND(ChartTable[[#This Row],[Valor Encerrado]]=0, ChartTable[[#This Row],[Valor Ativo]]=""), 1, 0)</f>
        <v>0</v>
      </c>
      <c r="E347" s="11">
        <f>IF(AND(ChartTable[[#This Row],[Valor Ativo]]&lt;&gt;"", ChartTable[[#This Row],[Valor Encerrado]]=""), 1, 0)</f>
        <v>1</v>
      </c>
      <c r="F347" s="11">
        <f>IF(AND(ChartTable[[#This Row],[Novo?]]=0, ChartTable[[#This Row],[Valor Ativo]]&lt;&gt;ChartTable[[#This Row],[Valor Encerrado]]), 1, 0)</f>
        <v>0</v>
      </c>
      <c r="G347" s="18" t="str">
        <f>IF(ChartTable[[#This Row],[Mudou?]]=1, ChartTable[[#This Row],[Valor Encerrado]]-ChartTable[[#This Row],[Valor Ativo]], "")</f>
        <v/>
      </c>
      <c r="H347" s="11" t="str">
        <f>IF(ChartTable[[#This Row],[Mudou?]]=1, IF(ChartTable[[#This Row],[Diferença]]&gt;0, "aumentou", "diminuiu"), "")</f>
        <v/>
      </c>
      <c r="I347" s="11" t="str" cm="1">
        <f t="array" ref="I347">_xlfn.IFS(ChartTable[[#This Row],[Exluido?]]=1,"Excluido",ChartTable[[#This Row],[Novo?]]=1, "Novo", ChartTable[[#This Row],[Mudou?]]=1, "Mudou")</f>
        <v>Novo</v>
      </c>
    </row>
    <row r="348" spans="1:9" x14ac:dyDescent="0.25">
      <c r="A348" t="s">
        <v>357</v>
      </c>
      <c r="B348" s="10">
        <v>11994.079563754722</v>
      </c>
      <c r="C348" s="10"/>
      <c r="D348" s="11">
        <f>IF(AND(ChartTable[[#This Row],[Valor Encerrado]]=0, ChartTable[[#This Row],[Valor Ativo]]=""), 1, 0)</f>
        <v>0</v>
      </c>
      <c r="E348" s="11">
        <f>IF(AND(ChartTable[[#This Row],[Valor Ativo]]&lt;&gt;"", ChartTable[[#This Row],[Valor Encerrado]]=""), 1, 0)</f>
        <v>1</v>
      </c>
      <c r="F348" s="11">
        <f>IF(AND(ChartTable[[#This Row],[Novo?]]=0, ChartTable[[#This Row],[Valor Ativo]]&lt;&gt;ChartTable[[#This Row],[Valor Encerrado]]), 1, 0)</f>
        <v>0</v>
      </c>
      <c r="G348" s="18" t="str">
        <f>IF(ChartTable[[#This Row],[Mudou?]]=1, ChartTable[[#This Row],[Valor Encerrado]]-ChartTable[[#This Row],[Valor Ativo]], "")</f>
        <v/>
      </c>
      <c r="H348" s="11" t="str">
        <f>IF(ChartTable[[#This Row],[Mudou?]]=1, IF(ChartTable[[#This Row],[Diferença]]&gt;0, "aumentou", "diminuiu"), "")</f>
        <v/>
      </c>
      <c r="I348" s="11" t="str" cm="1">
        <f t="array" ref="I348">_xlfn.IFS(ChartTable[[#This Row],[Exluido?]]=1,"Excluido",ChartTable[[#This Row],[Novo?]]=1, "Novo", ChartTable[[#This Row],[Mudou?]]=1, "Mudou")</f>
        <v>Novo</v>
      </c>
    </row>
    <row r="349" spans="1:9" x14ac:dyDescent="0.25">
      <c r="A349" t="s">
        <v>358</v>
      </c>
      <c r="B349" s="10">
        <v>11994.079563754722</v>
      </c>
      <c r="C349" s="10"/>
      <c r="D349" s="11">
        <f>IF(AND(ChartTable[[#This Row],[Valor Encerrado]]=0, ChartTable[[#This Row],[Valor Ativo]]=""), 1, 0)</f>
        <v>0</v>
      </c>
      <c r="E349" s="11">
        <f>IF(AND(ChartTable[[#This Row],[Valor Ativo]]&lt;&gt;"", ChartTable[[#This Row],[Valor Encerrado]]=""), 1, 0)</f>
        <v>1</v>
      </c>
      <c r="F349" s="11">
        <f>IF(AND(ChartTable[[#This Row],[Novo?]]=0, ChartTable[[#This Row],[Valor Ativo]]&lt;&gt;ChartTable[[#This Row],[Valor Encerrado]]), 1, 0)</f>
        <v>0</v>
      </c>
      <c r="G349" s="18" t="str">
        <f>IF(ChartTable[[#This Row],[Mudou?]]=1, ChartTable[[#This Row],[Valor Encerrado]]-ChartTable[[#This Row],[Valor Ativo]], "")</f>
        <v/>
      </c>
      <c r="H349" s="11" t="str">
        <f>IF(ChartTable[[#This Row],[Mudou?]]=1, IF(ChartTable[[#This Row],[Diferença]]&gt;0, "aumentou", "diminuiu"), "")</f>
        <v/>
      </c>
      <c r="I349" s="11" t="str" cm="1">
        <f t="array" ref="I349">_xlfn.IFS(ChartTable[[#This Row],[Exluido?]]=1,"Excluido",ChartTable[[#This Row],[Novo?]]=1, "Novo", ChartTable[[#This Row],[Mudou?]]=1, "Mudou")</f>
        <v>Novo</v>
      </c>
    </row>
    <row r="350" spans="1:9" x14ac:dyDescent="0.25">
      <c r="A350" t="s">
        <v>359</v>
      </c>
      <c r="B350" s="10">
        <v>11994.079563754722</v>
      </c>
      <c r="C350" s="10"/>
      <c r="D350" s="11">
        <f>IF(AND(ChartTable[[#This Row],[Valor Encerrado]]=0, ChartTable[[#This Row],[Valor Ativo]]=""), 1, 0)</f>
        <v>0</v>
      </c>
      <c r="E350" s="11">
        <f>IF(AND(ChartTable[[#This Row],[Valor Ativo]]&lt;&gt;"", ChartTable[[#This Row],[Valor Encerrado]]=""), 1, 0)</f>
        <v>1</v>
      </c>
      <c r="F350" s="11">
        <f>IF(AND(ChartTable[[#This Row],[Novo?]]=0, ChartTable[[#This Row],[Valor Ativo]]&lt;&gt;ChartTable[[#This Row],[Valor Encerrado]]), 1, 0)</f>
        <v>0</v>
      </c>
      <c r="G350" s="18" t="str">
        <f>IF(ChartTable[[#This Row],[Mudou?]]=1, ChartTable[[#This Row],[Valor Encerrado]]-ChartTable[[#This Row],[Valor Ativo]], "")</f>
        <v/>
      </c>
      <c r="H350" s="11" t="str">
        <f>IF(ChartTable[[#This Row],[Mudou?]]=1, IF(ChartTable[[#This Row],[Diferença]]&gt;0, "aumentou", "diminuiu"), "")</f>
        <v/>
      </c>
      <c r="I350" s="11" t="str" cm="1">
        <f t="array" ref="I350">_xlfn.IFS(ChartTable[[#This Row],[Exluido?]]=1,"Excluido",ChartTable[[#This Row],[Novo?]]=1, "Novo", ChartTable[[#This Row],[Mudou?]]=1, "Mudou")</f>
        <v>Novo</v>
      </c>
    </row>
    <row r="351" spans="1:9" x14ac:dyDescent="0.25">
      <c r="A351" t="s">
        <v>360</v>
      </c>
      <c r="B351" s="10">
        <v>11994.079563754722</v>
      </c>
      <c r="C351" s="10"/>
      <c r="D351" s="11">
        <f>IF(AND(ChartTable[[#This Row],[Valor Encerrado]]=0, ChartTable[[#This Row],[Valor Ativo]]=""), 1, 0)</f>
        <v>0</v>
      </c>
      <c r="E351" s="11">
        <f>IF(AND(ChartTable[[#This Row],[Valor Ativo]]&lt;&gt;"", ChartTable[[#This Row],[Valor Encerrado]]=""), 1, 0)</f>
        <v>1</v>
      </c>
      <c r="F351" s="11">
        <f>IF(AND(ChartTable[[#This Row],[Novo?]]=0, ChartTable[[#This Row],[Valor Ativo]]&lt;&gt;ChartTable[[#This Row],[Valor Encerrado]]), 1, 0)</f>
        <v>0</v>
      </c>
      <c r="G351" s="18" t="str">
        <f>IF(ChartTable[[#This Row],[Mudou?]]=1, ChartTable[[#This Row],[Valor Encerrado]]-ChartTable[[#This Row],[Valor Ativo]], "")</f>
        <v/>
      </c>
      <c r="H351" s="11" t="str">
        <f>IF(ChartTable[[#This Row],[Mudou?]]=1, IF(ChartTable[[#This Row],[Diferença]]&gt;0, "aumentou", "diminuiu"), "")</f>
        <v/>
      </c>
      <c r="I351" s="11" t="str" cm="1">
        <f t="array" ref="I351">_xlfn.IFS(ChartTable[[#This Row],[Exluido?]]=1,"Excluido",ChartTable[[#This Row],[Novo?]]=1, "Novo", ChartTable[[#This Row],[Mudou?]]=1, "Mudou")</f>
        <v>Novo</v>
      </c>
    </row>
    <row r="352" spans="1:9" x14ac:dyDescent="0.25">
      <c r="A352" t="s">
        <v>361</v>
      </c>
      <c r="B352" s="10">
        <v>11994.079563754722</v>
      </c>
      <c r="C352" s="10"/>
      <c r="D352" s="11">
        <f>IF(AND(ChartTable[[#This Row],[Valor Encerrado]]=0, ChartTable[[#This Row],[Valor Ativo]]=""), 1, 0)</f>
        <v>0</v>
      </c>
      <c r="E352" s="11">
        <f>IF(AND(ChartTable[[#This Row],[Valor Ativo]]&lt;&gt;"", ChartTable[[#This Row],[Valor Encerrado]]=""), 1, 0)</f>
        <v>1</v>
      </c>
      <c r="F352" s="11">
        <f>IF(AND(ChartTable[[#This Row],[Novo?]]=0, ChartTable[[#This Row],[Valor Ativo]]&lt;&gt;ChartTable[[#This Row],[Valor Encerrado]]), 1, 0)</f>
        <v>0</v>
      </c>
      <c r="G352" s="18" t="str">
        <f>IF(ChartTable[[#This Row],[Mudou?]]=1, ChartTable[[#This Row],[Valor Encerrado]]-ChartTable[[#This Row],[Valor Ativo]], "")</f>
        <v/>
      </c>
      <c r="H352" s="11" t="str">
        <f>IF(ChartTable[[#This Row],[Mudou?]]=1, IF(ChartTable[[#This Row],[Diferença]]&gt;0, "aumentou", "diminuiu"), "")</f>
        <v/>
      </c>
      <c r="I352" s="11" t="str" cm="1">
        <f t="array" ref="I352">_xlfn.IFS(ChartTable[[#This Row],[Exluido?]]=1,"Excluido",ChartTable[[#This Row],[Novo?]]=1, "Novo", ChartTable[[#This Row],[Mudou?]]=1, "Mudou")</f>
        <v>Novo</v>
      </c>
    </row>
    <row r="353" spans="1:9" x14ac:dyDescent="0.25">
      <c r="A353" t="s">
        <v>362</v>
      </c>
      <c r="B353" s="10">
        <v>11994.079563754722</v>
      </c>
      <c r="C353" s="10"/>
      <c r="D353" s="11">
        <f>IF(AND(ChartTable[[#This Row],[Valor Encerrado]]=0, ChartTable[[#This Row],[Valor Ativo]]=""), 1, 0)</f>
        <v>0</v>
      </c>
      <c r="E353" s="11">
        <f>IF(AND(ChartTable[[#This Row],[Valor Ativo]]&lt;&gt;"", ChartTable[[#This Row],[Valor Encerrado]]=""), 1, 0)</f>
        <v>1</v>
      </c>
      <c r="F353" s="11">
        <f>IF(AND(ChartTable[[#This Row],[Novo?]]=0, ChartTable[[#This Row],[Valor Ativo]]&lt;&gt;ChartTable[[#This Row],[Valor Encerrado]]), 1, 0)</f>
        <v>0</v>
      </c>
      <c r="G353" s="18" t="str">
        <f>IF(ChartTable[[#This Row],[Mudou?]]=1, ChartTable[[#This Row],[Valor Encerrado]]-ChartTable[[#This Row],[Valor Ativo]], "")</f>
        <v/>
      </c>
      <c r="H353" s="11" t="str">
        <f>IF(ChartTable[[#This Row],[Mudou?]]=1, IF(ChartTable[[#This Row],[Diferença]]&gt;0, "aumentou", "diminuiu"), "")</f>
        <v/>
      </c>
      <c r="I353" s="11" t="str" cm="1">
        <f t="array" ref="I353">_xlfn.IFS(ChartTable[[#This Row],[Exluido?]]=1,"Excluido",ChartTable[[#This Row],[Novo?]]=1, "Novo", ChartTable[[#This Row],[Mudou?]]=1, "Mudou")</f>
        <v>Novo</v>
      </c>
    </row>
    <row r="354" spans="1:9" x14ac:dyDescent="0.25">
      <c r="A354" t="s">
        <v>363</v>
      </c>
      <c r="B354" s="10">
        <v>11994.079563754722</v>
      </c>
      <c r="C354" s="10"/>
      <c r="D354" s="11">
        <f>IF(AND(ChartTable[[#This Row],[Valor Encerrado]]=0, ChartTable[[#This Row],[Valor Ativo]]=""), 1, 0)</f>
        <v>0</v>
      </c>
      <c r="E354" s="11">
        <f>IF(AND(ChartTable[[#This Row],[Valor Ativo]]&lt;&gt;"", ChartTable[[#This Row],[Valor Encerrado]]=""), 1, 0)</f>
        <v>1</v>
      </c>
      <c r="F354" s="11">
        <f>IF(AND(ChartTable[[#This Row],[Novo?]]=0, ChartTable[[#This Row],[Valor Ativo]]&lt;&gt;ChartTable[[#This Row],[Valor Encerrado]]), 1, 0)</f>
        <v>0</v>
      </c>
      <c r="G354" s="18" t="str">
        <f>IF(ChartTable[[#This Row],[Mudou?]]=1, ChartTable[[#This Row],[Valor Encerrado]]-ChartTable[[#This Row],[Valor Ativo]], "")</f>
        <v/>
      </c>
      <c r="H354" s="11" t="str">
        <f>IF(ChartTable[[#This Row],[Mudou?]]=1, IF(ChartTable[[#This Row],[Diferença]]&gt;0, "aumentou", "diminuiu"), "")</f>
        <v/>
      </c>
      <c r="I354" s="11" t="str" cm="1">
        <f t="array" ref="I354">_xlfn.IFS(ChartTable[[#This Row],[Exluido?]]=1,"Excluido",ChartTable[[#This Row],[Novo?]]=1, "Novo", ChartTable[[#This Row],[Mudou?]]=1, "Mudou")</f>
        <v>Novo</v>
      </c>
    </row>
    <row r="355" spans="1:9" x14ac:dyDescent="0.25">
      <c r="A355" t="s">
        <v>364</v>
      </c>
      <c r="B355" s="10">
        <v>11994.079563754722</v>
      </c>
      <c r="C355" s="10"/>
      <c r="D355" s="11">
        <f>IF(AND(ChartTable[[#This Row],[Valor Encerrado]]=0, ChartTable[[#This Row],[Valor Ativo]]=""), 1, 0)</f>
        <v>0</v>
      </c>
      <c r="E355" s="11">
        <f>IF(AND(ChartTable[[#This Row],[Valor Ativo]]&lt;&gt;"", ChartTable[[#This Row],[Valor Encerrado]]=""), 1, 0)</f>
        <v>1</v>
      </c>
      <c r="F355" s="11">
        <f>IF(AND(ChartTable[[#This Row],[Novo?]]=0, ChartTable[[#This Row],[Valor Ativo]]&lt;&gt;ChartTable[[#This Row],[Valor Encerrado]]), 1, 0)</f>
        <v>0</v>
      </c>
      <c r="G355" s="18" t="str">
        <f>IF(ChartTable[[#This Row],[Mudou?]]=1, ChartTable[[#This Row],[Valor Encerrado]]-ChartTable[[#This Row],[Valor Ativo]], "")</f>
        <v/>
      </c>
      <c r="H355" s="11" t="str">
        <f>IF(ChartTable[[#This Row],[Mudou?]]=1, IF(ChartTable[[#This Row],[Diferença]]&gt;0, "aumentou", "diminuiu"), "")</f>
        <v/>
      </c>
      <c r="I355" s="11" t="str" cm="1">
        <f t="array" ref="I355">_xlfn.IFS(ChartTable[[#This Row],[Exluido?]]=1,"Excluido",ChartTable[[#This Row],[Novo?]]=1, "Novo", ChartTable[[#This Row],[Mudou?]]=1, "Mudou")</f>
        <v>Novo</v>
      </c>
    </row>
    <row r="356" spans="1:9" x14ac:dyDescent="0.25">
      <c r="A356" t="s">
        <v>365</v>
      </c>
      <c r="B356" s="10">
        <v>11994.079563754722</v>
      </c>
      <c r="C356" s="10"/>
      <c r="D356" s="11">
        <f>IF(AND(ChartTable[[#This Row],[Valor Encerrado]]=0, ChartTable[[#This Row],[Valor Ativo]]=""), 1, 0)</f>
        <v>0</v>
      </c>
      <c r="E356" s="11">
        <f>IF(AND(ChartTable[[#This Row],[Valor Ativo]]&lt;&gt;"", ChartTable[[#This Row],[Valor Encerrado]]=""), 1, 0)</f>
        <v>1</v>
      </c>
      <c r="F356" s="11">
        <f>IF(AND(ChartTable[[#This Row],[Novo?]]=0, ChartTable[[#This Row],[Valor Ativo]]&lt;&gt;ChartTable[[#This Row],[Valor Encerrado]]), 1, 0)</f>
        <v>0</v>
      </c>
      <c r="G356" s="18" t="str">
        <f>IF(ChartTable[[#This Row],[Mudou?]]=1, ChartTable[[#This Row],[Valor Encerrado]]-ChartTable[[#This Row],[Valor Ativo]], "")</f>
        <v/>
      </c>
      <c r="H356" s="11" t="str">
        <f>IF(ChartTable[[#This Row],[Mudou?]]=1, IF(ChartTable[[#This Row],[Diferença]]&gt;0, "aumentou", "diminuiu"), "")</f>
        <v/>
      </c>
      <c r="I356" s="11" t="str" cm="1">
        <f t="array" ref="I356">_xlfn.IFS(ChartTable[[#This Row],[Exluido?]]=1,"Excluido",ChartTable[[#This Row],[Novo?]]=1, "Novo", ChartTable[[#This Row],[Mudou?]]=1, "Mudou")</f>
        <v>Novo</v>
      </c>
    </row>
    <row r="357" spans="1:9" x14ac:dyDescent="0.25">
      <c r="A357" t="s">
        <v>366</v>
      </c>
      <c r="B357" s="10">
        <v>11994.079563754722</v>
      </c>
      <c r="C357" s="10"/>
      <c r="D357" s="11">
        <f>IF(AND(ChartTable[[#This Row],[Valor Encerrado]]=0, ChartTable[[#This Row],[Valor Ativo]]=""), 1, 0)</f>
        <v>0</v>
      </c>
      <c r="E357" s="11">
        <f>IF(AND(ChartTable[[#This Row],[Valor Ativo]]&lt;&gt;"", ChartTable[[#This Row],[Valor Encerrado]]=""), 1, 0)</f>
        <v>1</v>
      </c>
      <c r="F357" s="11">
        <f>IF(AND(ChartTable[[#This Row],[Novo?]]=0, ChartTable[[#This Row],[Valor Ativo]]&lt;&gt;ChartTable[[#This Row],[Valor Encerrado]]), 1, 0)</f>
        <v>0</v>
      </c>
      <c r="G357" s="18" t="str">
        <f>IF(ChartTable[[#This Row],[Mudou?]]=1, ChartTable[[#This Row],[Valor Encerrado]]-ChartTable[[#This Row],[Valor Ativo]], "")</f>
        <v/>
      </c>
      <c r="H357" s="11" t="str">
        <f>IF(ChartTable[[#This Row],[Mudou?]]=1, IF(ChartTable[[#This Row],[Diferença]]&gt;0, "aumentou", "diminuiu"), "")</f>
        <v/>
      </c>
      <c r="I357" s="11" t="str" cm="1">
        <f t="array" ref="I357">_xlfn.IFS(ChartTable[[#This Row],[Exluido?]]=1,"Excluido",ChartTable[[#This Row],[Novo?]]=1, "Novo", ChartTable[[#This Row],[Mudou?]]=1, "Mudou")</f>
        <v>Novo</v>
      </c>
    </row>
    <row r="358" spans="1:9" x14ac:dyDescent="0.25">
      <c r="A358" t="s">
        <v>367</v>
      </c>
      <c r="B358" s="10">
        <v>11994.079563754722</v>
      </c>
      <c r="C358" s="10"/>
      <c r="D358" s="11">
        <f>IF(AND(ChartTable[[#This Row],[Valor Encerrado]]=0, ChartTable[[#This Row],[Valor Ativo]]=""), 1, 0)</f>
        <v>0</v>
      </c>
      <c r="E358" s="11">
        <f>IF(AND(ChartTable[[#This Row],[Valor Ativo]]&lt;&gt;"", ChartTable[[#This Row],[Valor Encerrado]]=""), 1, 0)</f>
        <v>1</v>
      </c>
      <c r="F358" s="11">
        <f>IF(AND(ChartTable[[#This Row],[Novo?]]=0, ChartTable[[#This Row],[Valor Ativo]]&lt;&gt;ChartTable[[#This Row],[Valor Encerrado]]), 1, 0)</f>
        <v>0</v>
      </c>
      <c r="G358" s="18" t="str">
        <f>IF(ChartTable[[#This Row],[Mudou?]]=1, ChartTable[[#This Row],[Valor Encerrado]]-ChartTable[[#This Row],[Valor Ativo]], "")</f>
        <v/>
      </c>
      <c r="H358" s="11" t="str">
        <f>IF(ChartTable[[#This Row],[Mudou?]]=1, IF(ChartTable[[#This Row],[Diferença]]&gt;0, "aumentou", "diminuiu"), "")</f>
        <v/>
      </c>
      <c r="I358" s="11" t="str" cm="1">
        <f t="array" ref="I358">_xlfn.IFS(ChartTable[[#This Row],[Exluido?]]=1,"Excluido",ChartTable[[#This Row],[Novo?]]=1, "Novo", ChartTable[[#This Row],[Mudou?]]=1, "Mudou")</f>
        <v>Novo</v>
      </c>
    </row>
    <row r="359" spans="1:9" x14ac:dyDescent="0.25">
      <c r="A359" t="s">
        <v>368</v>
      </c>
      <c r="B359" s="10">
        <v>11994.079563754722</v>
      </c>
      <c r="C359" s="10"/>
      <c r="D359" s="11">
        <f>IF(AND(ChartTable[[#This Row],[Valor Encerrado]]=0, ChartTable[[#This Row],[Valor Ativo]]=""), 1, 0)</f>
        <v>0</v>
      </c>
      <c r="E359" s="11">
        <f>IF(AND(ChartTable[[#This Row],[Valor Ativo]]&lt;&gt;"", ChartTable[[#This Row],[Valor Encerrado]]=""), 1, 0)</f>
        <v>1</v>
      </c>
      <c r="F359" s="11">
        <f>IF(AND(ChartTable[[#This Row],[Novo?]]=0, ChartTable[[#This Row],[Valor Ativo]]&lt;&gt;ChartTable[[#This Row],[Valor Encerrado]]), 1, 0)</f>
        <v>0</v>
      </c>
      <c r="G359" s="18" t="str">
        <f>IF(ChartTable[[#This Row],[Mudou?]]=1, ChartTable[[#This Row],[Valor Encerrado]]-ChartTable[[#This Row],[Valor Ativo]], "")</f>
        <v/>
      </c>
      <c r="H359" s="11" t="str">
        <f>IF(ChartTable[[#This Row],[Mudou?]]=1, IF(ChartTable[[#This Row],[Diferença]]&gt;0, "aumentou", "diminuiu"), "")</f>
        <v/>
      </c>
      <c r="I359" s="11" t="str" cm="1">
        <f t="array" ref="I359">_xlfn.IFS(ChartTable[[#This Row],[Exluido?]]=1,"Excluido",ChartTable[[#This Row],[Novo?]]=1, "Novo", ChartTable[[#This Row],[Mudou?]]=1, "Mudou")</f>
        <v>Novo</v>
      </c>
    </row>
    <row r="360" spans="1:9" x14ac:dyDescent="0.25">
      <c r="A360" t="s">
        <v>369</v>
      </c>
      <c r="B360" s="10">
        <v>11994.079563754722</v>
      </c>
      <c r="C360" s="10"/>
      <c r="D360" s="11">
        <f>IF(AND(ChartTable[[#This Row],[Valor Encerrado]]=0, ChartTable[[#This Row],[Valor Ativo]]=""), 1, 0)</f>
        <v>0</v>
      </c>
      <c r="E360" s="11">
        <f>IF(AND(ChartTable[[#This Row],[Valor Ativo]]&lt;&gt;"", ChartTable[[#This Row],[Valor Encerrado]]=""), 1, 0)</f>
        <v>1</v>
      </c>
      <c r="F360" s="11">
        <f>IF(AND(ChartTable[[#This Row],[Novo?]]=0, ChartTable[[#This Row],[Valor Ativo]]&lt;&gt;ChartTable[[#This Row],[Valor Encerrado]]), 1, 0)</f>
        <v>0</v>
      </c>
      <c r="G360" s="18" t="str">
        <f>IF(ChartTable[[#This Row],[Mudou?]]=1, ChartTable[[#This Row],[Valor Encerrado]]-ChartTable[[#This Row],[Valor Ativo]], "")</f>
        <v/>
      </c>
      <c r="H360" s="11" t="str">
        <f>IF(ChartTable[[#This Row],[Mudou?]]=1, IF(ChartTable[[#This Row],[Diferença]]&gt;0, "aumentou", "diminuiu"), "")</f>
        <v/>
      </c>
      <c r="I360" s="11" t="str" cm="1">
        <f t="array" ref="I360">_xlfn.IFS(ChartTable[[#This Row],[Exluido?]]=1,"Excluido",ChartTable[[#This Row],[Novo?]]=1, "Novo", ChartTable[[#This Row],[Mudou?]]=1, "Mudou")</f>
        <v>Novo</v>
      </c>
    </row>
    <row r="361" spans="1:9" x14ac:dyDescent="0.25">
      <c r="A361" t="s">
        <v>370</v>
      </c>
      <c r="B361" s="10">
        <v>11994.079563754722</v>
      </c>
      <c r="C361" s="10"/>
      <c r="D361" s="11">
        <f>IF(AND(ChartTable[[#This Row],[Valor Encerrado]]=0, ChartTable[[#This Row],[Valor Ativo]]=""), 1, 0)</f>
        <v>0</v>
      </c>
      <c r="E361" s="11">
        <f>IF(AND(ChartTable[[#This Row],[Valor Ativo]]&lt;&gt;"", ChartTable[[#This Row],[Valor Encerrado]]=""), 1, 0)</f>
        <v>1</v>
      </c>
      <c r="F361" s="11">
        <f>IF(AND(ChartTable[[#This Row],[Novo?]]=0, ChartTable[[#This Row],[Valor Ativo]]&lt;&gt;ChartTable[[#This Row],[Valor Encerrado]]), 1, 0)</f>
        <v>0</v>
      </c>
      <c r="G361" s="18" t="str">
        <f>IF(ChartTable[[#This Row],[Mudou?]]=1, ChartTable[[#This Row],[Valor Encerrado]]-ChartTable[[#This Row],[Valor Ativo]], "")</f>
        <v/>
      </c>
      <c r="H361" s="11" t="str">
        <f>IF(ChartTable[[#This Row],[Mudou?]]=1, IF(ChartTable[[#This Row],[Diferença]]&gt;0, "aumentou", "diminuiu"), "")</f>
        <v/>
      </c>
      <c r="I361" s="11" t="str" cm="1">
        <f t="array" ref="I361">_xlfn.IFS(ChartTable[[#This Row],[Exluido?]]=1,"Excluido",ChartTable[[#This Row],[Novo?]]=1, "Novo", ChartTable[[#This Row],[Mudou?]]=1, "Mudou")</f>
        <v>Novo</v>
      </c>
    </row>
    <row r="362" spans="1:9" x14ac:dyDescent="0.25">
      <c r="A362" t="s">
        <v>371</v>
      </c>
      <c r="B362" s="10">
        <v>11994.079563754722</v>
      </c>
      <c r="C362" s="10"/>
      <c r="D362" s="11">
        <f>IF(AND(ChartTable[[#This Row],[Valor Encerrado]]=0, ChartTable[[#This Row],[Valor Ativo]]=""), 1, 0)</f>
        <v>0</v>
      </c>
      <c r="E362" s="11">
        <f>IF(AND(ChartTable[[#This Row],[Valor Ativo]]&lt;&gt;"", ChartTable[[#This Row],[Valor Encerrado]]=""), 1, 0)</f>
        <v>1</v>
      </c>
      <c r="F362" s="11">
        <f>IF(AND(ChartTable[[#This Row],[Novo?]]=0, ChartTable[[#This Row],[Valor Ativo]]&lt;&gt;ChartTable[[#This Row],[Valor Encerrado]]), 1, 0)</f>
        <v>0</v>
      </c>
      <c r="G362" s="18" t="str">
        <f>IF(ChartTable[[#This Row],[Mudou?]]=1, ChartTable[[#This Row],[Valor Encerrado]]-ChartTable[[#This Row],[Valor Ativo]], "")</f>
        <v/>
      </c>
      <c r="H362" s="11" t="str">
        <f>IF(ChartTable[[#This Row],[Mudou?]]=1, IF(ChartTable[[#This Row],[Diferença]]&gt;0, "aumentou", "diminuiu"), "")</f>
        <v/>
      </c>
      <c r="I362" s="11" t="str" cm="1">
        <f t="array" ref="I362">_xlfn.IFS(ChartTable[[#This Row],[Exluido?]]=1,"Excluido",ChartTable[[#This Row],[Novo?]]=1, "Novo", ChartTable[[#This Row],[Mudou?]]=1, "Mudou")</f>
        <v>Novo</v>
      </c>
    </row>
    <row r="363" spans="1:9" x14ac:dyDescent="0.25">
      <c r="A363" t="s">
        <v>372</v>
      </c>
      <c r="B363" s="10">
        <v>11994.079563754722</v>
      </c>
      <c r="C363" s="10"/>
      <c r="D363" s="11">
        <f>IF(AND(ChartTable[[#This Row],[Valor Encerrado]]=0, ChartTable[[#This Row],[Valor Ativo]]=""), 1, 0)</f>
        <v>0</v>
      </c>
      <c r="E363" s="11">
        <f>IF(AND(ChartTable[[#This Row],[Valor Ativo]]&lt;&gt;"", ChartTable[[#This Row],[Valor Encerrado]]=""), 1, 0)</f>
        <v>1</v>
      </c>
      <c r="F363" s="11">
        <f>IF(AND(ChartTable[[#This Row],[Novo?]]=0, ChartTable[[#This Row],[Valor Ativo]]&lt;&gt;ChartTable[[#This Row],[Valor Encerrado]]), 1, 0)</f>
        <v>0</v>
      </c>
      <c r="G363" s="18" t="str">
        <f>IF(ChartTable[[#This Row],[Mudou?]]=1, ChartTable[[#This Row],[Valor Encerrado]]-ChartTable[[#This Row],[Valor Ativo]], "")</f>
        <v/>
      </c>
      <c r="H363" s="11" t="str">
        <f>IF(ChartTable[[#This Row],[Mudou?]]=1, IF(ChartTable[[#This Row],[Diferença]]&gt;0, "aumentou", "diminuiu"), "")</f>
        <v/>
      </c>
      <c r="I363" s="11" t="str" cm="1">
        <f t="array" ref="I363">_xlfn.IFS(ChartTable[[#This Row],[Exluido?]]=1,"Excluido",ChartTable[[#This Row],[Novo?]]=1, "Novo", ChartTable[[#This Row],[Mudou?]]=1, "Mudou")</f>
        <v>Novo</v>
      </c>
    </row>
    <row r="364" spans="1:9" x14ac:dyDescent="0.25">
      <c r="A364" t="s">
        <v>373</v>
      </c>
      <c r="B364" s="10">
        <v>11994.079563754722</v>
      </c>
      <c r="C364" s="10"/>
      <c r="D364" s="11">
        <f>IF(AND(ChartTable[[#This Row],[Valor Encerrado]]=0, ChartTable[[#This Row],[Valor Ativo]]=""), 1, 0)</f>
        <v>0</v>
      </c>
      <c r="E364" s="11">
        <f>IF(AND(ChartTable[[#This Row],[Valor Ativo]]&lt;&gt;"", ChartTable[[#This Row],[Valor Encerrado]]=""), 1, 0)</f>
        <v>1</v>
      </c>
      <c r="F364" s="11">
        <f>IF(AND(ChartTable[[#This Row],[Novo?]]=0, ChartTable[[#This Row],[Valor Ativo]]&lt;&gt;ChartTable[[#This Row],[Valor Encerrado]]), 1, 0)</f>
        <v>0</v>
      </c>
      <c r="G364" s="18" t="str">
        <f>IF(ChartTable[[#This Row],[Mudou?]]=1, ChartTable[[#This Row],[Valor Encerrado]]-ChartTable[[#This Row],[Valor Ativo]], "")</f>
        <v/>
      </c>
      <c r="H364" s="11" t="str">
        <f>IF(ChartTable[[#This Row],[Mudou?]]=1, IF(ChartTable[[#This Row],[Diferença]]&gt;0, "aumentou", "diminuiu"), "")</f>
        <v/>
      </c>
      <c r="I364" s="11" t="str" cm="1">
        <f t="array" ref="I364">_xlfn.IFS(ChartTable[[#This Row],[Exluido?]]=1,"Excluido",ChartTable[[#This Row],[Novo?]]=1, "Novo", ChartTable[[#This Row],[Mudou?]]=1, "Mudou")</f>
        <v>Novo</v>
      </c>
    </row>
    <row r="365" spans="1:9" x14ac:dyDescent="0.25">
      <c r="A365" t="s">
        <v>374</v>
      </c>
      <c r="B365" s="10">
        <v>11994.079563754722</v>
      </c>
      <c r="C365" s="10"/>
      <c r="D365" s="11">
        <f>IF(AND(ChartTable[[#This Row],[Valor Encerrado]]=0, ChartTable[[#This Row],[Valor Ativo]]=""), 1, 0)</f>
        <v>0</v>
      </c>
      <c r="E365" s="11">
        <f>IF(AND(ChartTable[[#This Row],[Valor Ativo]]&lt;&gt;"", ChartTable[[#This Row],[Valor Encerrado]]=""), 1, 0)</f>
        <v>1</v>
      </c>
      <c r="F365" s="11">
        <f>IF(AND(ChartTable[[#This Row],[Novo?]]=0, ChartTable[[#This Row],[Valor Ativo]]&lt;&gt;ChartTable[[#This Row],[Valor Encerrado]]), 1, 0)</f>
        <v>0</v>
      </c>
      <c r="G365" s="18" t="str">
        <f>IF(ChartTable[[#This Row],[Mudou?]]=1, ChartTable[[#This Row],[Valor Encerrado]]-ChartTable[[#This Row],[Valor Ativo]], "")</f>
        <v/>
      </c>
      <c r="H365" s="11" t="str">
        <f>IF(ChartTable[[#This Row],[Mudou?]]=1, IF(ChartTable[[#This Row],[Diferença]]&gt;0, "aumentou", "diminuiu"), "")</f>
        <v/>
      </c>
      <c r="I365" s="11" t="str" cm="1">
        <f t="array" ref="I365">_xlfn.IFS(ChartTable[[#This Row],[Exluido?]]=1,"Excluido",ChartTable[[#This Row],[Novo?]]=1, "Novo", ChartTable[[#This Row],[Mudou?]]=1, "Mudou")</f>
        <v>Novo</v>
      </c>
    </row>
    <row r="366" spans="1:9" x14ac:dyDescent="0.25">
      <c r="A366" t="s">
        <v>375</v>
      </c>
      <c r="B366" s="10">
        <v>11994.079563754722</v>
      </c>
      <c r="C366" s="10"/>
      <c r="D366" s="11">
        <f>IF(AND(ChartTable[[#This Row],[Valor Encerrado]]=0, ChartTable[[#This Row],[Valor Ativo]]=""), 1, 0)</f>
        <v>0</v>
      </c>
      <c r="E366" s="11">
        <f>IF(AND(ChartTable[[#This Row],[Valor Ativo]]&lt;&gt;"", ChartTable[[#This Row],[Valor Encerrado]]=""), 1, 0)</f>
        <v>1</v>
      </c>
      <c r="F366" s="11">
        <f>IF(AND(ChartTable[[#This Row],[Novo?]]=0, ChartTable[[#This Row],[Valor Ativo]]&lt;&gt;ChartTable[[#This Row],[Valor Encerrado]]), 1, 0)</f>
        <v>0</v>
      </c>
      <c r="G366" s="18" t="str">
        <f>IF(ChartTable[[#This Row],[Mudou?]]=1, ChartTable[[#This Row],[Valor Encerrado]]-ChartTable[[#This Row],[Valor Ativo]], "")</f>
        <v/>
      </c>
      <c r="H366" s="11" t="str">
        <f>IF(ChartTable[[#This Row],[Mudou?]]=1, IF(ChartTable[[#This Row],[Diferença]]&gt;0, "aumentou", "diminuiu"), "")</f>
        <v/>
      </c>
      <c r="I366" s="11" t="str" cm="1">
        <f t="array" ref="I366">_xlfn.IFS(ChartTable[[#This Row],[Exluido?]]=1,"Excluido",ChartTable[[#This Row],[Novo?]]=1, "Novo", ChartTable[[#This Row],[Mudou?]]=1, "Mudou")</f>
        <v>Novo</v>
      </c>
    </row>
    <row r="367" spans="1:9" x14ac:dyDescent="0.25">
      <c r="A367" t="s">
        <v>376</v>
      </c>
      <c r="B367" s="10">
        <v>11994.079563754722</v>
      </c>
      <c r="C367" s="10"/>
      <c r="D367" s="11">
        <f>IF(AND(ChartTable[[#This Row],[Valor Encerrado]]=0, ChartTable[[#This Row],[Valor Ativo]]=""), 1, 0)</f>
        <v>0</v>
      </c>
      <c r="E367" s="11">
        <f>IF(AND(ChartTable[[#This Row],[Valor Ativo]]&lt;&gt;"", ChartTable[[#This Row],[Valor Encerrado]]=""), 1, 0)</f>
        <v>1</v>
      </c>
      <c r="F367" s="11">
        <f>IF(AND(ChartTable[[#This Row],[Novo?]]=0, ChartTable[[#This Row],[Valor Ativo]]&lt;&gt;ChartTable[[#This Row],[Valor Encerrado]]), 1, 0)</f>
        <v>0</v>
      </c>
      <c r="G367" s="18" t="str">
        <f>IF(ChartTable[[#This Row],[Mudou?]]=1, ChartTable[[#This Row],[Valor Encerrado]]-ChartTable[[#This Row],[Valor Ativo]], "")</f>
        <v/>
      </c>
      <c r="H367" s="11" t="str">
        <f>IF(ChartTable[[#This Row],[Mudou?]]=1, IF(ChartTable[[#This Row],[Diferença]]&gt;0, "aumentou", "diminuiu"), "")</f>
        <v/>
      </c>
      <c r="I367" s="11" t="str" cm="1">
        <f t="array" ref="I367">_xlfn.IFS(ChartTable[[#This Row],[Exluido?]]=1,"Excluido",ChartTable[[#This Row],[Novo?]]=1, "Novo", ChartTable[[#This Row],[Mudou?]]=1, "Mudou")</f>
        <v>Novo</v>
      </c>
    </row>
    <row r="368" spans="1:9" x14ac:dyDescent="0.25">
      <c r="A368" t="s">
        <v>377</v>
      </c>
      <c r="B368" s="10">
        <v>11994.079563754722</v>
      </c>
      <c r="C368" s="10"/>
      <c r="D368" s="11">
        <f>IF(AND(ChartTable[[#This Row],[Valor Encerrado]]=0, ChartTable[[#This Row],[Valor Ativo]]=""), 1, 0)</f>
        <v>0</v>
      </c>
      <c r="E368" s="11">
        <f>IF(AND(ChartTable[[#This Row],[Valor Ativo]]&lt;&gt;"", ChartTable[[#This Row],[Valor Encerrado]]=""), 1, 0)</f>
        <v>1</v>
      </c>
      <c r="F368" s="11">
        <f>IF(AND(ChartTable[[#This Row],[Novo?]]=0, ChartTable[[#This Row],[Valor Ativo]]&lt;&gt;ChartTable[[#This Row],[Valor Encerrado]]), 1, 0)</f>
        <v>0</v>
      </c>
      <c r="G368" s="18" t="str">
        <f>IF(ChartTable[[#This Row],[Mudou?]]=1, ChartTable[[#This Row],[Valor Encerrado]]-ChartTable[[#This Row],[Valor Ativo]], "")</f>
        <v/>
      </c>
      <c r="H368" s="11" t="str">
        <f>IF(ChartTable[[#This Row],[Mudou?]]=1, IF(ChartTable[[#This Row],[Diferença]]&gt;0, "aumentou", "diminuiu"), "")</f>
        <v/>
      </c>
      <c r="I368" s="11" t="str" cm="1">
        <f t="array" ref="I368">_xlfn.IFS(ChartTable[[#This Row],[Exluido?]]=1,"Excluido",ChartTable[[#This Row],[Novo?]]=1, "Novo", ChartTable[[#This Row],[Mudou?]]=1, "Mudou")</f>
        <v>Novo</v>
      </c>
    </row>
    <row r="369" spans="1:9" x14ac:dyDescent="0.25">
      <c r="A369" t="s">
        <v>378</v>
      </c>
      <c r="B369" s="10">
        <v>11994.079563754722</v>
      </c>
      <c r="C369" s="10"/>
      <c r="D369" s="11">
        <f>IF(AND(ChartTable[[#This Row],[Valor Encerrado]]=0, ChartTable[[#This Row],[Valor Ativo]]=""), 1, 0)</f>
        <v>0</v>
      </c>
      <c r="E369" s="11">
        <f>IF(AND(ChartTable[[#This Row],[Valor Ativo]]&lt;&gt;"", ChartTable[[#This Row],[Valor Encerrado]]=""), 1, 0)</f>
        <v>1</v>
      </c>
      <c r="F369" s="11">
        <f>IF(AND(ChartTable[[#This Row],[Novo?]]=0, ChartTable[[#This Row],[Valor Ativo]]&lt;&gt;ChartTable[[#This Row],[Valor Encerrado]]), 1, 0)</f>
        <v>0</v>
      </c>
      <c r="G369" s="18" t="str">
        <f>IF(ChartTable[[#This Row],[Mudou?]]=1, ChartTable[[#This Row],[Valor Encerrado]]-ChartTable[[#This Row],[Valor Ativo]], "")</f>
        <v/>
      </c>
      <c r="H369" s="11" t="str">
        <f>IF(ChartTable[[#This Row],[Mudou?]]=1, IF(ChartTable[[#This Row],[Diferença]]&gt;0, "aumentou", "diminuiu"), "")</f>
        <v/>
      </c>
      <c r="I369" s="11" t="str" cm="1">
        <f t="array" ref="I369">_xlfn.IFS(ChartTable[[#This Row],[Exluido?]]=1,"Excluido",ChartTable[[#This Row],[Novo?]]=1, "Novo", ChartTable[[#This Row],[Mudou?]]=1, "Mudou")</f>
        <v>Novo</v>
      </c>
    </row>
    <row r="370" spans="1:9" x14ac:dyDescent="0.25">
      <c r="A370" t="s">
        <v>379</v>
      </c>
      <c r="B370" s="10">
        <v>11994.079563754722</v>
      </c>
      <c r="C370" s="10"/>
      <c r="D370" s="11">
        <f>IF(AND(ChartTable[[#This Row],[Valor Encerrado]]=0, ChartTable[[#This Row],[Valor Ativo]]=""), 1, 0)</f>
        <v>0</v>
      </c>
      <c r="E370" s="11">
        <f>IF(AND(ChartTable[[#This Row],[Valor Ativo]]&lt;&gt;"", ChartTable[[#This Row],[Valor Encerrado]]=""), 1, 0)</f>
        <v>1</v>
      </c>
      <c r="F370" s="11">
        <f>IF(AND(ChartTable[[#This Row],[Novo?]]=0, ChartTable[[#This Row],[Valor Ativo]]&lt;&gt;ChartTable[[#This Row],[Valor Encerrado]]), 1, 0)</f>
        <v>0</v>
      </c>
      <c r="G370" s="18" t="str">
        <f>IF(ChartTable[[#This Row],[Mudou?]]=1, ChartTable[[#This Row],[Valor Encerrado]]-ChartTable[[#This Row],[Valor Ativo]], "")</f>
        <v/>
      </c>
      <c r="H370" s="11" t="str">
        <f>IF(ChartTable[[#This Row],[Mudou?]]=1, IF(ChartTable[[#This Row],[Diferença]]&gt;0, "aumentou", "diminuiu"), "")</f>
        <v/>
      </c>
      <c r="I370" s="11" t="str" cm="1">
        <f t="array" ref="I370">_xlfn.IFS(ChartTable[[#This Row],[Exluido?]]=1,"Excluido",ChartTable[[#This Row],[Novo?]]=1, "Novo", ChartTable[[#This Row],[Mudou?]]=1, "Mudou")</f>
        <v>Novo</v>
      </c>
    </row>
    <row r="371" spans="1:9" x14ac:dyDescent="0.25">
      <c r="A371" t="s">
        <v>380</v>
      </c>
      <c r="B371" s="10">
        <v>11994.079563754722</v>
      </c>
      <c r="C371" s="10"/>
      <c r="D371" s="11">
        <f>IF(AND(ChartTable[[#This Row],[Valor Encerrado]]=0, ChartTable[[#This Row],[Valor Ativo]]=""), 1, 0)</f>
        <v>0</v>
      </c>
      <c r="E371" s="11">
        <f>IF(AND(ChartTable[[#This Row],[Valor Ativo]]&lt;&gt;"", ChartTable[[#This Row],[Valor Encerrado]]=""), 1, 0)</f>
        <v>1</v>
      </c>
      <c r="F371" s="11">
        <f>IF(AND(ChartTable[[#This Row],[Novo?]]=0, ChartTable[[#This Row],[Valor Ativo]]&lt;&gt;ChartTable[[#This Row],[Valor Encerrado]]), 1, 0)</f>
        <v>0</v>
      </c>
      <c r="G371" s="18" t="str">
        <f>IF(ChartTable[[#This Row],[Mudou?]]=1, ChartTable[[#This Row],[Valor Encerrado]]-ChartTable[[#This Row],[Valor Ativo]], "")</f>
        <v/>
      </c>
      <c r="H371" s="11" t="str">
        <f>IF(ChartTable[[#This Row],[Mudou?]]=1, IF(ChartTable[[#This Row],[Diferença]]&gt;0, "aumentou", "diminuiu"), "")</f>
        <v/>
      </c>
      <c r="I371" s="11" t="str" cm="1">
        <f t="array" ref="I371">_xlfn.IFS(ChartTable[[#This Row],[Exluido?]]=1,"Excluido",ChartTable[[#This Row],[Novo?]]=1, "Novo", ChartTable[[#This Row],[Mudou?]]=1, "Mudou")</f>
        <v>Novo</v>
      </c>
    </row>
    <row r="372" spans="1:9" x14ac:dyDescent="0.25">
      <c r="A372" t="s">
        <v>381</v>
      </c>
      <c r="B372" s="10">
        <v>11994.079563754722</v>
      </c>
      <c r="C372" s="10"/>
      <c r="D372" s="11">
        <f>IF(AND(ChartTable[[#This Row],[Valor Encerrado]]=0, ChartTable[[#This Row],[Valor Ativo]]=""), 1, 0)</f>
        <v>0</v>
      </c>
      <c r="E372" s="11">
        <f>IF(AND(ChartTable[[#This Row],[Valor Ativo]]&lt;&gt;"", ChartTable[[#This Row],[Valor Encerrado]]=""), 1, 0)</f>
        <v>1</v>
      </c>
      <c r="F372" s="11">
        <f>IF(AND(ChartTable[[#This Row],[Novo?]]=0, ChartTable[[#This Row],[Valor Ativo]]&lt;&gt;ChartTable[[#This Row],[Valor Encerrado]]), 1, 0)</f>
        <v>0</v>
      </c>
      <c r="G372" s="18" t="str">
        <f>IF(ChartTable[[#This Row],[Mudou?]]=1, ChartTable[[#This Row],[Valor Encerrado]]-ChartTable[[#This Row],[Valor Ativo]], "")</f>
        <v/>
      </c>
      <c r="H372" s="11" t="str">
        <f>IF(ChartTable[[#This Row],[Mudou?]]=1, IF(ChartTable[[#This Row],[Diferença]]&gt;0, "aumentou", "diminuiu"), "")</f>
        <v/>
      </c>
      <c r="I372" s="11" t="str" cm="1">
        <f t="array" ref="I372">_xlfn.IFS(ChartTable[[#This Row],[Exluido?]]=1,"Excluido",ChartTable[[#This Row],[Novo?]]=1, "Novo", ChartTable[[#This Row],[Mudou?]]=1, "Mudou")</f>
        <v>Novo</v>
      </c>
    </row>
    <row r="373" spans="1:9" x14ac:dyDescent="0.25">
      <c r="A373" t="s">
        <v>382</v>
      </c>
      <c r="B373" s="10">
        <v>11994.079563754722</v>
      </c>
      <c r="C373" s="10"/>
      <c r="D373" s="11">
        <f>IF(AND(ChartTable[[#This Row],[Valor Encerrado]]=0, ChartTable[[#This Row],[Valor Ativo]]=""), 1, 0)</f>
        <v>0</v>
      </c>
      <c r="E373" s="11">
        <f>IF(AND(ChartTable[[#This Row],[Valor Ativo]]&lt;&gt;"", ChartTable[[#This Row],[Valor Encerrado]]=""), 1, 0)</f>
        <v>1</v>
      </c>
      <c r="F373" s="11">
        <f>IF(AND(ChartTable[[#This Row],[Novo?]]=0, ChartTable[[#This Row],[Valor Ativo]]&lt;&gt;ChartTable[[#This Row],[Valor Encerrado]]), 1, 0)</f>
        <v>0</v>
      </c>
      <c r="G373" s="18" t="str">
        <f>IF(ChartTable[[#This Row],[Mudou?]]=1, ChartTable[[#This Row],[Valor Encerrado]]-ChartTable[[#This Row],[Valor Ativo]], "")</f>
        <v/>
      </c>
      <c r="H373" s="11" t="str">
        <f>IF(ChartTable[[#This Row],[Mudou?]]=1, IF(ChartTable[[#This Row],[Diferença]]&gt;0, "aumentou", "diminuiu"), "")</f>
        <v/>
      </c>
      <c r="I373" s="11" t="str" cm="1">
        <f t="array" ref="I373">_xlfn.IFS(ChartTable[[#This Row],[Exluido?]]=1,"Excluido",ChartTable[[#This Row],[Novo?]]=1, "Novo", ChartTable[[#This Row],[Mudou?]]=1, "Mudou")</f>
        <v>Novo</v>
      </c>
    </row>
    <row r="374" spans="1:9" x14ac:dyDescent="0.25">
      <c r="A374" t="s">
        <v>383</v>
      </c>
      <c r="B374" s="10">
        <v>11994.079563754722</v>
      </c>
      <c r="C374" s="10"/>
      <c r="D374" s="11">
        <f>IF(AND(ChartTable[[#This Row],[Valor Encerrado]]=0, ChartTable[[#This Row],[Valor Ativo]]=""), 1, 0)</f>
        <v>0</v>
      </c>
      <c r="E374" s="11">
        <f>IF(AND(ChartTable[[#This Row],[Valor Ativo]]&lt;&gt;"", ChartTable[[#This Row],[Valor Encerrado]]=""), 1, 0)</f>
        <v>1</v>
      </c>
      <c r="F374" s="11">
        <f>IF(AND(ChartTable[[#This Row],[Novo?]]=0, ChartTable[[#This Row],[Valor Ativo]]&lt;&gt;ChartTable[[#This Row],[Valor Encerrado]]), 1, 0)</f>
        <v>0</v>
      </c>
      <c r="G374" s="18" t="str">
        <f>IF(ChartTable[[#This Row],[Mudou?]]=1, ChartTable[[#This Row],[Valor Encerrado]]-ChartTable[[#This Row],[Valor Ativo]], "")</f>
        <v/>
      </c>
      <c r="H374" s="11" t="str">
        <f>IF(ChartTable[[#This Row],[Mudou?]]=1, IF(ChartTable[[#This Row],[Diferença]]&gt;0, "aumentou", "diminuiu"), "")</f>
        <v/>
      </c>
      <c r="I374" s="11" t="str" cm="1">
        <f t="array" ref="I374">_xlfn.IFS(ChartTable[[#This Row],[Exluido?]]=1,"Excluido",ChartTable[[#This Row],[Novo?]]=1, "Novo", ChartTable[[#This Row],[Mudou?]]=1, "Mudou")</f>
        <v>Novo</v>
      </c>
    </row>
    <row r="375" spans="1:9" x14ac:dyDescent="0.25">
      <c r="A375" t="s">
        <v>384</v>
      </c>
      <c r="B375" s="10">
        <v>11994.079563754722</v>
      </c>
      <c r="C375" s="10"/>
      <c r="D375" s="11">
        <f>IF(AND(ChartTable[[#This Row],[Valor Encerrado]]=0, ChartTable[[#This Row],[Valor Ativo]]=""), 1, 0)</f>
        <v>0</v>
      </c>
      <c r="E375" s="11">
        <f>IF(AND(ChartTable[[#This Row],[Valor Ativo]]&lt;&gt;"", ChartTable[[#This Row],[Valor Encerrado]]=""), 1, 0)</f>
        <v>1</v>
      </c>
      <c r="F375" s="11">
        <f>IF(AND(ChartTable[[#This Row],[Novo?]]=0, ChartTable[[#This Row],[Valor Ativo]]&lt;&gt;ChartTable[[#This Row],[Valor Encerrado]]), 1, 0)</f>
        <v>0</v>
      </c>
      <c r="G375" s="18" t="str">
        <f>IF(ChartTable[[#This Row],[Mudou?]]=1, ChartTable[[#This Row],[Valor Encerrado]]-ChartTable[[#This Row],[Valor Ativo]], "")</f>
        <v/>
      </c>
      <c r="H375" s="11" t="str">
        <f>IF(ChartTable[[#This Row],[Mudou?]]=1, IF(ChartTable[[#This Row],[Diferença]]&gt;0, "aumentou", "diminuiu"), "")</f>
        <v/>
      </c>
      <c r="I375" s="11" t="str" cm="1">
        <f t="array" ref="I375">_xlfn.IFS(ChartTable[[#This Row],[Exluido?]]=1,"Excluido",ChartTable[[#This Row],[Novo?]]=1, "Novo", ChartTable[[#This Row],[Mudou?]]=1, "Mudou")</f>
        <v>Novo</v>
      </c>
    </row>
    <row r="376" spans="1:9" x14ac:dyDescent="0.25">
      <c r="A376" t="s">
        <v>385</v>
      </c>
      <c r="B376" s="10">
        <v>11994.079563754722</v>
      </c>
      <c r="C376" s="10"/>
      <c r="D376" s="11">
        <f>IF(AND(ChartTable[[#This Row],[Valor Encerrado]]=0, ChartTable[[#This Row],[Valor Ativo]]=""), 1, 0)</f>
        <v>0</v>
      </c>
      <c r="E376" s="11">
        <f>IF(AND(ChartTable[[#This Row],[Valor Ativo]]&lt;&gt;"", ChartTable[[#This Row],[Valor Encerrado]]=""), 1, 0)</f>
        <v>1</v>
      </c>
      <c r="F376" s="11">
        <f>IF(AND(ChartTable[[#This Row],[Novo?]]=0, ChartTable[[#This Row],[Valor Ativo]]&lt;&gt;ChartTable[[#This Row],[Valor Encerrado]]), 1, 0)</f>
        <v>0</v>
      </c>
      <c r="G376" s="18" t="str">
        <f>IF(ChartTable[[#This Row],[Mudou?]]=1, ChartTable[[#This Row],[Valor Encerrado]]-ChartTable[[#This Row],[Valor Ativo]], "")</f>
        <v/>
      </c>
      <c r="H376" s="11" t="str">
        <f>IF(ChartTable[[#This Row],[Mudou?]]=1, IF(ChartTable[[#This Row],[Diferença]]&gt;0, "aumentou", "diminuiu"), "")</f>
        <v/>
      </c>
      <c r="I376" s="11" t="str" cm="1">
        <f t="array" ref="I376">_xlfn.IFS(ChartTable[[#This Row],[Exluido?]]=1,"Excluido",ChartTable[[#This Row],[Novo?]]=1, "Novo", ChartTable[[#This Row],[Mudou?]]=1, "Mudou")</f>
        <v>Novo</v>
      </c>
    </row>
    <row r="377" spans="1:9" x14ac:dyDescent="0.25">
      <c r="A377" t="s">
        <v>386</v>
      </c>
      <c r="B377" s="10">
        <v>11994.079563754722</v>
      </c>
      <c r="C377" s="10"/>
      <c r="D377" s="11">
        <f>IF(AND(ChartTable[[#This Row],[Valor Encerrado]]=0, ChartTable[[#This Row],[Valor Ativo]]=""), 1, 0)</f>
        <v>0</v>
      </c>
      <c r="E377" s="11">
        <f>IF(AND(ChartTable[[#This Row],[Valor Ativo]]&lt;&gt;"", ChartTable[[#This Row],[Valor Encerrado]]=""), 1, 0)</f>
        <v>1</v>
      </c>
      <c r="F377" s="11">
        <f>IF(AND(ChartTable[[#This Row],[Novo?]]=0, ChartTable[[#This Row],[Valor Ativo]]&lt;&gt;ChartTable[[#This Row],[Valor Encerrado]]), 1, 0)</f>
        <v>0</v>
      </c>
      <c r="G377" s="18" t="str">
        <f>IF(ChartTable[[#This Row],[Mudou?]]=1, ChartTable[[#This Row],[Valor Encerrado]]-ChartTable[[#This Row],[Valor Ativo]], "")</f>
        <v/>
      </c>
      <c r="H377" s="11" t="str">
        <f>IF(ChartTable[[#This Row],[Mudou?]]=1, IF(ChartTable[[#This Row],[Diferença]]&gt;0, "aumentou", "diminuiu"), "")</f>
        <v/>
      </c>
      <c r="I377" s="11" t="str" cm="1">
        <f t="array" ref="I377">_xlfn.IFS(ChartTable[[#This Row],[Exluido?]]=1,"Excluido",ChartTable[[#This Row],[Novo?]]=1, "Novo", ChartTable[[#This Row],[Mudou?]]=1, "Mudou")</f>
        <v>Novo</v>
      </c>
    </row>
    <row r="378" spans="1:9" x14ac:dyDescent="0.25">
      <c r="A378" t="s">
        <v>387</v>
      </c>
      <c r="B378" s="10">
        <v>11994.079563754722</v>
      </c>
      <c r="C378" s="10"/>
      <c r="D378" s="11">
        <f>IF(AND(ChartTable[[#This Row],[Valor Encerrado]]=0, ChartTable[[#This Row],[Valor Ativo]]=""), 1, 0)</f>
        <v>0</v>
      </c>
      <c r="E378" s="11">
        <f>IF(AND(ChartTable[[#This Row],[Valor Ativo]]&lt;&gt;"", ChartTable[[#This Row],[Valor Encerrado]]=""), 1, 0)</f>
        <v>1</v>
      </c>
      <c r="F378" s="11">
        <f>IF(AND(ChartTable[[#This Row],[Novo?]]=0, ChartTable[[#This Row],[Valor Ativo]]&lt;&gt;ChartTable[[#This Row],[Valor Encerrado]]), 1, 0)</f>
        <v>0</v>
      </c>
      <c r="G378" s="18" t="str">
        <f>IF(ChartTable[[#This Row],[Mudou?]]=1, ChartTable[[#This Row],[Valor Encerrado]]-ChartTable[[#This Row],[Valor Ativo]], "")</f>
        <v/>
      </c>
      <c r="H378" s="11" t="str">
        <f>IF(ChartTable[[#This Row],[Mudou?]]=1, IF(ChartTable[[#This Row],[Diferença]]&gt;0, "aumentou", "diminuiu"), "")</f>
        <v/>
      </c>
      <c r="I378" s="11" t="str" cm="1">
        <f t="array" ref="I378">_xlfn.IFS(ChartTable[[#This Row],[Exluido?]]=1,"Excluido",ChartTable[[#This Row],[Novo?]]=1, "Novo", ChartTable[[#This Row],[Mudou?]]=1, "Mudou")</f>
        <v>Novo</v>
      </c>
    </row>
    <row r="379" spans="1:9" x14ac:dyDescent="0.25">
      <c r="A379" t="s">
        <v>388</v>
      </c>
      <c r="B379" s="10">
        <v>11994.079563754722</v>
      </c>
      <c r="C379" s="10"/>
      <c r="D379" s="11">
        <f>IF(AND(ChartTable[[#This Row],[Valor Encerrado]]=0, ChartTable[[#This Row],[Valor Ativo]]=""), 1, 0)</f>
        <v>0</v>
      </c>
      <c r="E379" s="11">
        <f>IF(AND(ChartTable[[#This Row],[Valor Ativo]]&lt;&gt;"", ChartTable[[#This Row],[Valor Encerrado]]=""), 1, 0)</f>
        <v>1</v>
      </c>
      <c r="F379" s="11">
        <f>IF(AND(ChartTable[[#This Row],[Novo?]]=0, ChartTable[[#This Row],[Valor Ativo]]&lt;&gt;ChartTable[[#This Row],[Valor Encerrado]]), 1, 0)</f>
        <v>0</v>
      </c>
      <c r="G379" s="18" t="str">
        <f>IF(ChartTable[[#This Row],[Mudou?]]=1, ChartTable[[#This Row],[Valor Encerrado]]-ChartTable[[#This Row],[Valor Ativo]], "")</f>
        <v/>
      </c>
      <c r="H379" s="11" t="str">
        <f>IF(ChartTable[[#This Row],[Mudou?]]=1, IF(ChartTable[[#This Row],[Diferença]]&gt;0, "aumentou", "diminuiu"), "")</f>
        <v/>
      </c>
      <c r="I379" s="11" t="str" cm="1">
        <f t="array" ref="I379">_xlfn.IFS(ChartTable[[#This Row],[Exluido?]]=1,"Excluido",ChartTable[[#This Row],[Novo?]]=1, "Novo", ChartTable[[#This Row],[Mudou?]]=1, "Mudou")</f>
        <v>Novo</v>
      </c>
    </row>
    <row r="380" spans="1:9" x14ac:dyDescent="0.25">
      <c r="A380" t="s">
        <v>389</v>
      </c>
      <c r="B380" s="10">
        <v>11994.079563754722</v>
      </c>
      <c r="C380" s="10"/>
      <c r="D380" s="11">
        <f>IF(AND(ChartTable[[#This Row],[Valor Encerrado]]=0, ChartTable[[#This Row],[Valor Ativo]]=""), 1, 0)</f>
        <v>0</v>
      </c>
      <c r="E380" s="11">
        <f>IF(AND(ChartTable[[#This Row],[Valor Ativo]]&lt;&gt;"", ChartTable[[#This Row],[Valor Encerrado]]=""), 1, 0)</f>
        <v>1</v>
      </c>
      <c r="F380" s="11">
        <f>IF(AND(ChartTable[[#This Row],[Novo?]]=0, ChartTable[[#This Row],[Valor Ativo]]&lt;&gt;ChartTable[[#This Row],[Valor Encerrado]]), 1, 0)</f>
        <v>0</v>
      </c>
      <c r="G380" s="18" t="str">
        <f>IF(ChartTable[[#This Row],[Mudou?]]=1, ChartTable[[#This Row],[Valor Encerrado]]-ChartTable[[#This Row],[Valor Ativo]], "")</f>
        <v/>
      </c>
      <c r="H380" s="11" t="str">
        <f>IF(ChartTable[[#This Row],[Mudou?]]=1, IF(ChartTable[[#This Row],[Diferença]]&gt;0, "aumentou", "diminuiu"), "")</f>
        <v/>
      </c>
      <c r="I380" s="11" t="str" cm="1">
        <f t="array" ref="I380">_xlfn.IFS(ChartTable[[#This Row],[Exluido?]]=1,"Excluido",ChartTable[[#This Row],[Novo?]]=1, "Novo", ChartTable[[#This Row],[Mudou?]]=1, "Mudou")</f>
        <v>Novo</v>
      </c>
    </row>
    <row r="381" spans="1:9" x14ac:dyDescent="0.25">
      <c r="A381" t="s">
        <v>390</v>
      </c>
      <c r="B381" s="10">
        <v>11994.079563754722</v>
      </c>
      <c r="C381" s="10"/>
      <c r="D381" s="11">
        <f>IF(AND(ChartTable[[#This Row],[Valor Encerrado]]=0, ChartTable[[#This Row],[Valor Ativo]]=""), 1, 0)</f>
        <v>0</v>
      </c>
      <c r="E381" s="11">
        <f>IF(AND(ChartTable[[#This Row],[Valor Ativo]]&lt;&gt;"", ChartTable[[#This Row],[Valor Encerrado]]=""), 1, 0)</f>
        <v>1</v>
      </c>
      <c r="F381" s="11">
        <f>IF(AND(ChartTable[[#This Row],[Novo?]]=0, ChartTable[[#This Row],[Valor Ativo]]&lt;&gt;ChartTable[[#This Row],[Valor Encerrado]]), 1, 0)</f>
        <v>0</v>
      </c>
      <c r="G381" s="18" t="str">
        <f>IF(ChartTable[[#This Row],[Mudou?]]=1, ChartTable[[#This Row],[Valor Encerrado]]-ChartTable[[#This Row],[Valor Ativo]], "")</f>
        <v/>
      </c>
      <c r="H381" s="11" t="str">
        <f>IF(ChartTable[[#This Row],[Mudou?]]=1, IF(ChartTable[[#This Row],[Diferença]]&gt;0, "aumentou", "diminuiu"), "")</f>
        <v/>
      </c>
      <c r="I381" s="11" t="str" cm="1">
        <f t="array" ref="I381">_xlfn.IFS(ChartTable[[#This Row],[Exluido?]]=1,"Excluido",ChartTable[[#This Row],[Novo?]]=1, "Novo", ChartTable[[#This Row],[Mudou?]]=1, "Mudou")</f>
        <v>Novo</v>
      </c>
    </row>
    <row r="382" spans="1:9" x14ac:dyDescent="0.25">
      <c r="A382" t="s">
        <v>391</v>
      </c>
      <c r="B382" s="10">
        <v>11994.079563754722</v>
      </c>
      <c r="C382" s="10"/>
      <c r="D382" s="11">
        <f>IF(AND(ChartTable[[#This Row],[Valor Encerrado]]=0, ChartTable[[#This Row],[Valor Ativo]]=""), 1, 0)</f>
        <v>0</v>
      </c>
      <c r="E382" s="11">
        <f>IF(AND(ChartTable[[#This Row],[Valor Ativo]]&lt;&gt;"", ChartTable[[#This Row],[Valor Encerrado]]=""), 1, 0)</f>
        <v>1</v>
      </c>
      <c r="F382" s="11">
        <f>IF(AND(ChartTable[[#This Row],[Novo?]]=0, ChartTable[[#This Row],[Valor Ativo]]&lt;&gt;ChartTable[[#This Row],[Valor Encerrado]]), 1, 0)</f>
        <v>0</v>
      </c>
      <c r="G382" s="18" t="str">
        <f>IF(ChartTable[[#This Row],[Mudou?]]=1, ChartTable[[#This Row],[Valor Encerrado]]-ChartTable[[#This Row],[Valor Ativo]], "")</f>
        <v/>
      </c>
      <c r="H382" s="11" t="str">
        <f>IF(ChartTable[[#This Row],[Mudou?]]=1, IF(ChartTable[[#This Row],[Diferença]]&gt;0, "aumentou", "diminuiu"), "")</f>
        <v/>
      </c>
      <c r="I382" s="11" t="str" cm="1">
        <f t="array" ref="I382">_xlfn.IFS(ChartTable[[#This Row],[Exluido?]]=1,"Excluido",ChartTable[[#This Row],[Novo?]]=1, "Novo", ChartTable[[#This Row],[Mudou?]]=1, "Mudou")</f>
        <v>Novo</v>
      </c>
    </row>
    <row r="383" spans="1:9" x14ac:dyDescent="0.25">
      <c r="A383" t="s">
        <v>392</v>
      </c>
      <c r="B383" s="10">
        <v>11994.079563754722</v>
      </c>
      <c r="C383" s="10"/>
      <c r="D383" s="11">
        <f>IF(AND(ChartTable[[#This Row],[Valor Encerrado]]=0, ChartTable[[#This Row],[Valor Ativo]]=""), 1, 0)</f>
        <v>0</v>
      </c>
      <c r="E383" s="11">
        <f>IF(AND(ChartTable[[#This Row],[Valor Ativo]]&lt;&gt;"", ChartTable[[#This Row],[Valor Encerrado]]=""), 1, 0)</f>
        <v>1</v>
      </c>
      <c r="F383" s="11">
        <f>IF(AND(ChartTable[[#This Row],[Novo?]]=0, ChartTable[[#This Row],[Valor Ativo]]&lt;&gt;ChartTable[[#This Row],[Valor Encerrado]]), 1, 0)</f>
        <v>0</v>
      </c>
      <c r="G383" s="18" t="str">
        <f>IF(ChartTable[[#This Row],[Mudou?]]=1, ChartTable[[#This Row],[Valor Encerrado]]-ChartTable[[#This Row],[Valor Ativo]], "")</f>
        <v/>
      </c>
      <c r="H383" s="11" t="str">
        <f>IF(ChartTable[[#This Row],[Mudou?]]=1, IF(ChartTable[[#This Row],[Diferença]]&gt;0, "aumentou", "diminuiu"), "")</f>
        <v/>
      </c>
      <c r="I383" s="11" t="str" cm="1">
        <f t="array" ref="I383">_xlfn.IFS(ChartTable[[#This Row],[Exluido?]]=1,"Excluido",ChartTable[[#This Row],[Novo?]]=1, "Novo", ChartTable[[#This Row],[Mudou?]]=1, "Mudou")</f>
        <v>Novo</v>
      </c>
    </row>
    <row r="384" spans="1:9" x14ac:dyDescent="0.25">
      <c r="A384" t="s">
        <v>393</v>
      </c>
      <c r="B384" s="10">
        <v>11994.079563754722</v>
      </c>
      <c r="C384" s="10"/>
      <c r="D384" s="11">
        <f>IF(AND(ChartTable[[#This Row],[Valor Encerrado]]=0, ChartTable[[#This Row],[Valor Ativo]]=""), 1, 0)</f>
        <v>0</v>
      </c>
      <c r="E384" s="11">
        <f>IF(AND(ChartTable[[#This Row],[Valor Ativo]]&lt;&gt;"", ChartTable[[#This Row],[Valor Encerrado]]=""), 1, 0)</f>
        <v>1</v>
      </c>
      <c r="F384" s="11">
        <f>IF(AND(ChartTable[[#This Row],[Novo?]]=0, ChartTable[[#This Row],[Valor Ativo]]&lt;&gt;ChartTable[[#This Row],[Valor Encerrado]]), 1, 0)</f>
        <v>0</v>
      </c>
      <c r="G384" s="18" t="str">
        <f>IF(ChartTable[[#This Row],[Mudou?]]=1, ChartTable[[#This Row],[Valor Encerrado]]-ChartTable[[#This Row],[Valor Ativo]], "")</f>
        <v/>
      </c>
      <c r="H384" s="11" t="str">
        <f>IF(ChartTable[[#This Row],[Mudou?]]=1, IF(ChartTable[[#This Row],[Diferença]]&gt;0, "aumentou", "diminuiu"), "")</f>
        <v/>
      </c>
      <c r="I384" s="11" t="str" cm="1">
        <f t="array" ref="I384">_xlfn.IFS(ChartTable[[#This Row],[Exluido?]]=1,"Excluido",ChartTable[[#This Row],[Novo?]]=1, "Novo", ChartTable[[#This Row],[Mudou?]]=1, "Mudou")</f>
        <v>Novo</v>
      </c>
    </row>
    <row r="385" spans="1:9" x14ac:dyDescent="0.25">
      <c r="A385" t="s">
        <v>394</v>
      </c>
      <c r="B385" s="10">
        <v>11994.079563754722</v>
      </c>
      <c r="C385" s="10"/>
      <c r="D385" s="11">
        <f>IF(AND(ChartTable[[#This Row],[Valor Encerrado]]=0, ChartTable[[#This Row],[Valor Ativo]]=""), 1, 0)</f>
        <v>0</v>
      </c>
      <c r="E385" s="11">
        <f>IF(AND(ChartTable[[#This Row],[Valor Ativo]]&lt;&gt;"", ChartTable[[#This Row],[Valor Encerrado]]=""), 1, 0)</f>
        <v>1</v>
      </c>
      <c r="F385" s="11">
        <f>IF(AND(ChartTable[[#This Row],[Novo?]]=0, ChartTable[[#This Row],[Valor Ativo]]&lt;&gt;ChartTable[[#This Row],[Valor Encerrado]]), 1, 0)</f>
        <v>0</v>
      </c>
      <c r="G385" s="18" t="str">
        <f>IF(ChartTable[[#This Row],[Mudou?]]=1, ChartTable[[#This Row],[Valor Encerrado]]-ChartTable[[#This Row],[Valor Ativo]], "")</f>
        <v/>
      </c>
      <c r="H385" s="11" t="str">
        <f>IF(ChartTable[[#This Row],[Mudou?]]=1, IF(ChartTable[[#This Row],[Diferença]]&gt;0, "aumentou", "diminuiu"), "")</f>
        <v/>
      </c>
      <c r="I385" s="11" t="str" cm="1">
        <f t="array" ref="I385">_xlfn.IFS(ChartTable[[#This Row],[Exluido?]]=1,"Excluido",ChartTable[[#This Row],[Novo?]]=1, "Novo", ChartTable[[#This Row],[Mudou?]]=1, "Mudou")</f>
        <v>Novo</v>
      </c>
    </row>
    <row r="386" spans="1:9" x14ac:dyDescent="0.25">
      <c r="A386" t="s">
        <v>395</v>
      </c>
      <c r="B386" s="10">
        <v>11994.079563754722</v>
      </c>
      <c r="C386" s="10"/>
      <c r="D386" s="11">
        <f>IF(AND(ChartTable[[#This Row],[Valor Encerrado]]=0, ChartTable[[#This Row],[Valor Ativo]]=""), 1, 0)</f>
        <v>0</v>
      </c>
      <c r="E386" s="11">
        <f>IF(AND(ChartTable[[#This Row],[Valor Ativo]]&lt;&gt;"", ChartTable[[#This Row],[Valor Encerrado]]=""), 1, 0)</f>
        <v>1</v>
      </c>
      <c r="F386" s="11">
        <f>IF(AND(ChartTable[[#This Row],[Novo?]]=0, ChartTable[[#This Row],[Valor Ativo]]&lt;&gt;ChartTable[[#This Row],[Valor Encerrado]]), 1, 0)</f>
        <v>0</v>
      </c>
      <c r="G386" s="18" t="str">
        <f>IF(ChartTable[[#This Row],[Mudou?]]=1, ChartTable[[#This Row],[Valor Encerrado]]-ChartTable[[#This Row],[Valor Ativo]], "")</f>
        <v/>
      </c>
      <c r="H386" s="11" t="str">
        <f>IF(ChartTable[[#This Row],[Mudou?]]=1, IF(ChartTable[[#This Row],[Diferença]]&gt;0, "aumentou", "diminuiu"), "")</f>
        <v/>
      </c>
      <c r="I386" s="11" t="str" cm="1">
        <f t="array" ref="I386">_xlfn.IFS(ChartTable[[#This Row],[Exluido?]]=1,"Excluido",ChartTable[[#This Row],[Novo?]]=1, "Novo", ChartTable[[#This Row],[Mudou?]]=1, "Mudou")</f>
        <v>Novo</v>
      </c>
    </row>
    <row r="387" spans="1:9" x14ac:dyDescent="0.25">
      <c r="A387" t="s">
        <v>396</v>
      </c>
      <c r="B387" s="10">
        <v>11994.079563754722</v>
      </c>
      <c r="C387" s="10"/>
      <c r="D387" s="11">
        <f>IF(AND(ChartTable[[#This Row],[Valor Encerrado]]=0, ChartTable[[#This Row],[Valor Ativo]]=""), 1, 0)</f>
        <v>0</v>
      </c>
      <c r="E387" s="11">
        <f>IF(AND(ChartTable[[#This Row],[Valor Ativo]]&lt;&gt;"", ChartTable[[#This Row],[Valor Encerrado]]=""), 1, 0)</f>
        <v>1</v>
      </c>
      <c r="F387" s="11">
        <f>IF(AND(ChartTable[[#This Row],[Novo?]]=0, ChartTable[[#This Row],[Valor Ativo]]&lt;&gt;ChartTable[[#This Row],[Valor Encerrado]]), 1, 0)</f>
        <v>0</v>
      </c>
      <c r="G387" s="18" t="str">
        <f>IF(ChartTable[[#This Row],[Mudou?]]=1, ChartTable[[#This Row],[Valor Encerrado]]-ChartTable[[#This Row],[Valor Ativo]], "")</f>
        <v/>
      </c>
      <c r="H387" s="11" t="str">
        <f>IF(ChartTable[[#This Row],[Mudou?]]=1, IF(ChartTable[[#This Row],[Diferença]]&gt;0, "aumentou", "diminuiu"), "")</f>
        <v/>
      </c>
      <c r="I387" s="11" t="str" cm="1">
        <f t="array" ref="I387">_xlfn.IFS(ChartTable[[#This Row],[Exluido?]]=1,"Excluido",ChartTable[[#This Row],[Novo?]]=1, "Novo", ChartTable[[#This Row],[Mudou?]]=1, "Mudou")</f>
        <v>Novo</v>
      </c>
    </row>
    <row r="388" spans="1:9" x14ac:dyDescent="0.25">
      <c r="A388" t="s">
        <v>397</v>
      </c>
      <c r="B388" s="10">
        <v>11994.079563754722</v>
      </c>
      <c r="C388" s="10"/>
      <c r="D388" s="11">
        <f>IF(AND(ChartTable[[#This Row],[Valor Encerrado]]=0, ChartTable[[#This Row],[Valor Ativo]]=""), 1, 0)</f>
        <v>0</v>
      </c>
      <c r="E388" s="11">
        <f>IF(AND(ChartTable[[#This Row],[Valor Ativo]]&lt;&gt;"", ChartTable[[#This Row],[Valor Encerrado]]=""), 1, 0)</f>
        <v>1</v>
      </c>
      <c r="F388" s="11">
        <f>IF(AND(ChartTable[[#This Row],[Novo?]]=0, ChartTable[[#This Row],[Valor Ativo]]&lt;&gt;ChartTable[[#This Row],[Valor Encerrado]]), 1, 0)</f>
        <v>0</v>
      </c>
      <c r="G388" s="18" t="str">
        <f>IF(ChartTable[[#This Row],[Mudou?]]=1, ChartTable[[#This Row],[Valor Encerrado]]-ChartTable[[#This Row],[Valor Ativo]], "")</f>
        <v/>
      </c>
      <c r="H388" s="11" t="str">
        <f>IF(ChartTable[[#This Row],[Mudou?]]=1, IF(ChartTable[[#This Row],[Diferença]]&gt;0, "aumentou", "diminuiu"), "")</f>
        <v/>
      </c>
      <c r="I388" s="11" t="str" cm="1">
        <f t="array" ref="I388">_xlfn.IFS(ChartTable[[#This Row],[Exluido?]]=1,"Excluido",ChartTable[[#This Row],[Novo?]]=1, "Novo", ChartTable[[#This Row],[Mudou?]]=1, "Mudou")</f>
        <v>Novo</v>
      </c>
    </row>
    <row r="389" spans="1:9" x14ac:dyDescent="0.25">
      <c r="A389" t="s">
        <v>398</v>
      </c>
      <c r="B389" s="10">
        <v>11994.079563754722</v>
      </c>
      <c r="C389" s="10"/>
      <c r="D389" s="11">
        <f>IF(AND(ChartTable[[#This Row],[Valor Encerrado]]=0, ChartTable[[#This Row],[Valor Ativo]]=""), 1, 0)</f>
        <v>0</v>
      </c>
      <c r="E389" s="11">
        <f>IF(AND(ChartTable[[#This Row],[Valor Ativo]]&lt;&gt;"", ChartTable[[#This Row],[Valor Encerrado]]=""), 1, 0)</f>
        <v>1</v>
      </c>
      <c r="F389" s="11">
        <f>IF(AND(ChartTable[[#This Row],[Novo?]]=0, ChartTable[[#This Row],[Valor Ativo]]&lt;&gt;ChartTable[[#This Row],[Valor Encerrado]]), 1, 0)</f>
        <v>0</v>
      </c>
      <c r="G389" s="18" t="str">
        <f>IF(ChartTable[[#This Row],[Mudou?]]=1, ChartTable[[#This Row],[Valor Encerrado]]-ChartTable[[#This Row],[Valor Ativo]], "")</f>
        <v/>
      </c>
      <c r="H389" s="11" t="str">
        <f>IF(ChartTable[[#This Row],[Mudou?]]=1, IF(ChartTable[[#This Row],[Diferença]]&gt;0, "aumentou", "diminuiu"), "")</f>
        <v/>
      </c>
      <c r="I389" s="11" t="str" cm="1">
        <f t="array" ref="I389">_xlfn.IFS(ChartTable[[#This Row],[Exluido?]]=1,"Excluido",ChartTable[[#This Row],[Novo?]]=1, "Novo", ChartTable[[#This Row],[Mudou?]]=1, "Mudou")</f>
        <v>Novo</v>
      </c>
    </row>
    <row r="390" spans="1:9" x14ac:dyDescent="0.25">
      <c r="A390" t="s">
        <v>399</v>
      </c>
      <c r="B390" s="10">
        <v>11994.079563754722</v>
      </c>
      <c r="C390" s="10"/>
      <c r="D390" s="11">
        <f>IF(AND(ChartTable[[#This Row],[Valor Encerrado]]=0, ChartTable[[#This Row],[Valor Ativo]]=""), 1, 0)</f>
        <v>0</v>
      </c>
      <c r="E390" s="11">
        <f>IF(AND(ChartTable[[#This Row],[Valor Ativo]]&lt;&gt;"", ChartTable[[#This Row],[Valor Encerrado]]=""), 1, 0)</f>
        <v>1</v>
      </c>
      <c r="F390" s="11">
        <f>IF(AND(ChartTable[[#This Row],[Novo?]]=0, ChartTable[[#This Row],[Valor Ativo]]&lt;&gt;ChartTable[[#This Row],[Valor Encerrado]]), 1, 0)</f>
        <v>0</v>
      </c>
      <c r="G390" s="18" t="str">
        <f>IF(ChartTable[[#This Row],[Mudou?]]=1, ChartTable[[#This Row],[Valor Encerrado]]-ChartTable[[#This Row],[Valor Ativo]], "")</f>
        <v/>
      </c>
      <c r="H390" s="11" t="str">
        <f>IF(ChartTable[[#This Row],[Mudou?]]=1, IF(ChartTable[[#This Row],[Diferença]]&gt;0, "aumentou", "diminuiu"), "")</f>
        <v/>
      </c>
      <c r="I390" s="11" t="str" cm="1">
        <f t="array" ref="I390">_xlfn.IFS(ChartTable[[#This Row],[Exluido?]]=1,"Excluido",ChartTable[[#This Row],[Novo?]]=1, "Novo", ChartTable[[#This Row],[Mudou?]]=1, "Mudou")</f>
        <v>Novo</v>
      </c>
    </row>
    <row r="391" spans="1:9" x14ac:dyDescent="0.25">
      <c r="A391" t="s">
        <v>400</v>
      </c>
      <c r="B391" s="10">
        <v>11994.079563754722</v>
      </c>
      <c r="C391" s="10"/>
      <c r="D391" s="11">
        <f>IF(AND(ChartTable[[#This Row],[Valor Encerrado]]=0, ChartTable[[#This Row],[Valor Ativo]]=""), 1, 0)</f>
        <v>0</v>
      </c>
      <c r="E391" s="11">
        <f>IF(AND(ChartTable[[#This Row],[Valor Ativo]]&lt;&gt;"", ChartTable[[#This Row],[Valor Encerrado]]=""), 1, 0)</f>
        <v>1</v>
      </c>
      <c r="F391" s="11">
        <f>IF(AND(ChartTable[[#This Row],[Novo?]]=0, ChartTable[[#This Row],[Valor Ativo]]&lt;&gt;ChartTable[[#This Row],[Valor Encerrado]]), 1, 0)</f>
        <v>0</v>
      </c>
      <c r="G391" s="18" t="str">
        <f>IF(ChartTable[[#This Row],[Mudou?]]=1, ChartTable[[#This Row],[Valor Encerrado]]-ChartTable[[#This Row],[Valor Ativo]], "")</f>
        <v/>
      </c>
      <c r="H391" s="11" t="str">
        <f>IF(ChartTable[[#This Row],[Mudou?]]=1, IF(ChartTable[[#This Row],[Diferença]]&gt;0, "aumentou", "diminuiu"), "")</f>
        <v/>
      </c>
      <c r="I391" s="11" t="str" cm="1">
        <f t="array" ref="I391">_xlfn.IFS(ChartTable[[#This Row],[Exluido?]]=1,"Excluido",ChartTable[[#This Row],[Novo?]]=1, "Novo", ChartTable[[#This Row],[Mudou?]]=1, "Mudou")</f>
        <v>Novo</v>
      </c>
    </row>
    <row r="392" spans="1:9" x14ac:dyDescent="0.25">
      <c r="A392" t="s">
        <v>401</v>
      </c>
      <c r="B392" s="10">
        <v>11994.079563754722</v>
      </c>
      <c r="C392" s="10"/>
      <c r="D392" s="11">
        <f>IF(AND(ChartTable[[#This Row],[Valor Encerrado]]=0, ChartTable[[#This Row],[Valor Ativo]]=""), 1, 0)</f>
        <v>0</v>
      </c>
      <c r="E392" s="11">
        <f>IF(AND(ChartTable[[#This Row],[Valor Ativo]]&lt;&gt;"", ChartTable[[#This Row],[Valor Encerrado]]=""), 1, 0)</f>
        <v>1</v>
      </c>
      <c r="F392" s="11">
        <f>IF(AND(ChartTable[[#This Row],[Novo?]]=0, ChartTable[[#This Row],[Valor Ativo]]&lt;&gt;ChartTable[[#This Row],[Valor Encerrado]]), 1, 0)</f>
        <v>0</v>
      </c>
      <c r="G392" s="18" t="str">
        <f>IF(ChartTable[[#This Row],[Mudou?]]=1, ChartTable[[#This Row],[Valor Encerrado]]-ChartTable[[#This Row],[Valor Ativo]], "")</f>
        <v/>
      </c>
      <c r="H392" s="11" t="str">
        <f>IF(ChartTable[[#This Row],[Mudou?]]=1, IF(ChartTable[[#This Row],[Diferença]]&gt;0, "aumentou", "diminuiu"), "")</f>
        <v/>
      </c>
      <c r="I392" s="11" t="str" cm="1">
        <f t="array" ref="I392">_xlfn.IFS(ChartTable[[#This Row],[Exluido?]]=1,"Excluido",ChartTable[[#This Row],[Novo?]]=1, "Novo", ChartTable[[#This Row],[Mudou?]]=1, "Mudou")</f>
        <v>Novo</v>
      </c>
    </row>
    <row r="393" spans="1:9" x14ac:dyDescent="0.25">
      <c r="A393" t="s">
        <v>402</v>
      </c>
      <c r="B393" s="10">
        <v>11994.079563754722</v>
      </c>
      <c r="C393" s="10"/>
      <c r="D393" s="11">
        <f>IF(AND(ChartTable[[#This Row],[Valor Encerrado]]=0, ChartTable[[#This Row],[Valor Ativo]]=""), 1, 0)</f>
        <v>0</v>
      </c>
      <c r="E393" s="11">
        <f>IF(AND(ChartTable[[#This Row],[Valor Ativo]]&lt;&gt;"", ChartTable[[#This Row],[Valor Encerrado]]=""), 1, 0)</f>
        <v>1</v>
      </c>
      <c r="F393" s="11">
        <f>IF(AND(ChartTable[[#This Row],[Novo?]]=0, ChartTable[[#This Row],[Valor Ativo]]&lt;&gt;ChartTable[[#This Row],[Valor Encerrado]]), 1, 0)</f>
        <v>0</v>
      </c>
      <c r="G393" s="18" t="str">
        <f>IF(ChartTable[[#This Row],[Mudou?]]=1, ChartTable[[#This Row],[Valor Encerrado]]-ChartTable[[#This Row],[Valor Ativo]], "")</f>
        <v/>
      </c>
      <c r="H393" s="11" t="str">
        <f>IF(ChartTable[[#This Row],[Mudou?]]=1, IF(ChartTable[[#This Row],[Diferença]]&gt;0, "aumentou", "diminuiu"), "")</f>
        <v/>
      </c>
      <c r="I393" s="11" t="str" cm="1">
        <f t="array" ref="I393">_xlfn.IFS(ChartTable[[#This Row],[Exluido?]]=1,"Excluido",ChartTable[[#This Row],[Novo?]]=1, "Novo", ChartTable[[#This Row],[Mudou?]]=1, "Mudou")</f>
        <v>Novo</v>
      </c>
    </row>
    <row r="394" spans="1:9" x14ac:dyDescent="0.25">
      <c r="A394" t="s">
        <v>403</v>
      </c>
      <c r="B394" s="10">
        <v>11994.079563754722</v>
      </c>
      <c r="C394" s="10"/>
      <c r="D394" s="11">
        <f>IF(AND(ChartTable[[#This Row],[Valor Encerrado]]=0, ChartTable[[#This Row],[Valor Ativo]]=""), 1, 0)</f>
        <v>0</v>
      </c>
      <c r="E394" s="11">
        <f>IF(AND(ChartTable[[#This Row],[Valor Ativo]]&lt;&gt;"", ChartTable[[#This Row],[Valor Encerrado]]=""), 1, 0)</f>
        <v>1</v>
      </c>
      <c r="F394" s="11">
        <f>IF(AND(ChartTable[[#This Row],[Novo?]]=0, ChartTable[[#This Row],[Valor Ativo]]&lt;&gt;ChartTable[[#This Row],[Valor Encerrado]]), 1, 0)</f>
        <v>0</v>
      </c>
      <c r="G394" s="18" t="str">
        <f>IF(ChartTable[[#This Row],[Mudou?]]=1, ChartTable[[#This Row],[Valor Encerrado]]-ChartTable[[#This Row],[Valor Ativo]], "")</f>
        <v/>
      </c>
      <c r="H394" s="11" t="str">
        <f>IF(ChartTable[[#This Row],[Mudou?]]=1, IF(ChartTable[[#This Row],[Diferença]]&gt;0, "aumentou", "diminuiu"), "")</f>
        <v/>
      </c>
      <c r="I394" s="11" t="str" cm="1">
        <f t="array" ref="I394">_xlfn.IFS(ChartTable[[#This Row],[Exluido?]]=1,"Excluido",ChartTable[[#This Row],[Novo?]]=1, "Novo", ChartTable[[#This Row],[Mudou?]]=1, "Mudou")</f>
        <v>Novo</v>
      </c>
    </row>
    <row r="395" spans="1:9" x14ac:dyDescent="0.25">
      <c r="A395" t="s">
        <v>404</v>
      </c>
      <c r="B395" s="10">
        <v>11994.079563754722</v>
      </c>
      <c r="C395" s="10"/>
      <c r="D395" s="11">
        <f>IF(AND(ChartTable[[#This Row],[Valor Encerrado]]=0, ChartTable[[#This Row],[Valor Ativo]]=""), 1, 0)</f>
        <v>0</v>
      </c>
      <c r="E395" s="11">
        <f>IF(AND(ChartTable[[#This Row],[Valor Ativo]]&lt;&gt;"", ChartTable[[#This Row],[Valor Encerrado]]=""), 1, 0)</f>
        <v>1</v>
      </c>
      <c r="F395" s="11">
        <f>IF(AND(ChartTable[[#This Row],[Novo?]]=0, ChartTable[[#This Row],[Valor Ativo]]&lt;&gt;ChartTable[[#This Row],[Valor Encerrado]]), 1, 0)</f>
        <v>0</v>
      </c>
      <c r="G395" s="18" t="str">
        <f>IF(ChartTable[[#This Row],[Mudou?]]=1, ChartTable[[#This Row],[Valor Encerrado]]-ChartTable[[#This Row],[Valor Ativo]], "")</f>
        <v/>
      </c>
      <c r="H395" s="11" t="str">
        <f>IF(ChartTable[[#This Row],[Mudou?]]=1, IF(ChartTable[[#This Row],[Diferença]]&gt;0, "aumentou", "diminuiu"), "")</f>
        <v/>
      </c>
      <c r="I395" s="11" t="str" cm="1">
        <f t="array" ref="I395">_xlfn.IFS(ChartTable[[#This Row],[Exluido?]]=1,"Excluido",ChartTable[[#This Row],[Novo?]]=1, "Novo", ChartTable[[#This Row],[Mudou?]]=1, "Mudou")</f>
        <v>Novo</v>
      </c>
    </row>
    <row r="396" spans="1:9" x14ac:dyDescent="0.25">
      <c r="A396" t="s">
        <v>405</v>
      </c>
      <c r="B396" s="10">
        <v>11994.079563754722</v>
      </c>
      <c r="C396" s="10"/>
      <c r="D396" s="11">
        <f>IF(AND(ChartTable[[#This Row],[Valor Encerrado]]=0, ChartTable[[#This Row],[Valor Ativo]]=""), 1, 0)</f>
        <v>0</v>
      </c>
      <c r="E396" s="11">
        <f>IF(AND(ChartTable[[#This Row],[Valor Ativo]]&lt;&gt;"", ChartTable[[#This Row],[Valor Encerrado]]=""), 1, 0)</f>
        <v>1</v>
      </c>
      <c r="F396" s="11">
        <f>IF(AND(ChartTable[[#This Row],[Novo?]]=0, ChartTable[[#This Row],[Valor Ativo]]&lt;&gt;ChartTable[[#This Row],[Valor Encerrado]]), 1, 0)</f>
        <v>0</v>
      </c>
      <c r="G396" s="18" t="str">
        <f>IF(ChartTable[[#This Row],[Mudou?]]=1, ChartTable[[#This Row],[Valor Encerrado]]-ChartTable[[#This Row],[Valor Ativo]], "")</f>
        <v/>
      </c>
      <c r="H396" s="11" t="str">
        <f>IF(ChartTable[[#This Row],[Mudou?]]=1, IF(ChartTable[[#This Row],[Diferença]]&gt;0, "aumentou", "diminuiu"), "")</f>
        <v/>
      </c>
      <c r="I396" s="11" t="str" cm="1">
        <f t="array" ref="I396">_xlfn.IFS(ChartTable[[#This Row],[Exluido?]]=1,"Excluido",ChartTable[[#This Row],[Novo?]]=1, "Novo", ChartTable[[#This Row],[Mudou?]]=1, "Mudou")</f>
        <v>Novo</v>
      </c>
    </row>
    <row r="397" spans="1:9" x14ac:dyDescent="0.25">
      <c r="A397" t="s">
        <v>406</v>
      </c>
      <c r="B397" s="10">
        <v>11994.079563754722</v>
      </c>
      <c r="C397" s="10"/>
      <c r="D397" s="11">
        <f>IF(AND(ChartTable[[#This Row],[Valor Encerrado]]=0, ChartTable[[#This Row],[Valor Ativo]]=""), 1, 0)</f>
        <v>0</v>
      </c>
      <c r="E397" s="11">
        <f>IF(AND(ChartTable[[#This Row],[Valor Ativo]]&lt;&gt;"", ChartTable[[#This Row],[Valor Encerrado]]=""), 1, 0)</f>
        <v>1</v>
      </c>
      <c r="F397" s="11">
        <f>IF(AND(ChartTable[[#This Row],[Novo?]]=0, ChartTable[[#This Row],[Valor Ativo]]&lt;&gt;ChartTable[[#This Row],[Valor Encerrado]]), 1, 0)</f>
        <v>0</v>
      </c>
      <c r="G397" s="18" t="str">
        <f>IF(ChartTable[[#This Row],[Mudou?]]=1, ChartTable[[#This Row],[Valor Encerrado]]-ChartTable[[#This Row],[Valor Ativo]], "")</f>
        <v/>
      </c>
      <c r="H397" s="11" t="str">
        <f>IF(ChartTable[[#This Row],[Mudou?]]=1, IF(ChartTable[[#This Row],[Diferença]]&gt;0, "aumentou", "diminuiu"), "")</f>
        <v/>
      </c>
      <c r="I397" s="11" t="str" cm="1">
        <f t="array" ref="I397">_xlfn.IFS(ChartTable[[#This Row],[Exluido?]]=1,"Excluido",ChartTable[[#This Row],[Novo?]]=1, "Novo", ChartTable[[#This Row],[Mudou?]]=1, "Mudou")</f>
        <v>Novo</v>
      </c>
    </row>
    <row r="398" spans="1:9" x14ac:dyDescent="0.25">
      <c r="A398" t="s">
        <v>407</v>
      </c>
      <c r="B398" s="10">
        <v>11994.079563754722</v>
      </c>
      <c r="C398" s="10"/>
      <c r="D398" s="11">
        <f>IF(AND(ChartTable[[#This Row],[Valor Encerrado]]=0, ChartTable[[#This Row],[Valor Ativo]]=""), 1, 0)</f>
        <v>0</v>
      </c>
      <c r="E398" s="11">
        <f>IF(AND(ChartTable[[#This Row],[Valor Ativo]]&lt;&gt;"", ChartTable[[#This Row],[Valor Encerrado]]=""), 1, 0)</f>
        <v>1</v>
      </c>
      <c r="F398" s="11">
        <f>IF(AND(ChartTable[[#This Row],[Novo?]]=0, ChartTable[[#This Row],[Valor Ativo]]&lt;&gt;ChartTable[[#This Row],[Valor Encerrado]]), 1, 0)</f>
        <v>0</v>
      </c>
      <c r="G398" s="18" t="str">
        <f>IF(ChartTable[[#This Row],[Mudou?]]=1, ChartTable[[#This Row],[Valor Encerrado]]-ChartTable[[#This Row],[Valor Ativo]], "")</f>
        <v/>
      </c>
      <c r="H398" s="11" t="str">
        <f>IF(ChartTable[[#This Row],[Mudou?]]=1, IF(ChartTable[[#This Row],[Diferença]]&gt;0, "aumentou", "diminuiu"), "")</f>
        <v/>
      </c>
      <c r="I398" s="11" t="str" cm="1">
        <f t="array" ref="I398">_xlfn.IFS(ChartTable[[#This Row],[Exluido?]]=1,"Excluido",ChartTable[[#This Row],[Novo?]]=1, "Novo", ChartTable[[#This Row],[Mudou?]]=1, "Mudou")</f>
        <v>Novo</v>
      </c>
    </row>
    <row r="399" spans="1:9" x14ac:dyDescent="0.25">
      <c r="A399" t="s">
        <v>408</v>
      </c>
      <c r="B399" s="10">
        <v>11994.079563754722</v>
      </c>
      <c r="C399" s="10"/>
      <c r="D399" s="11">
        <f>IF(AND(ChartTable[[#This Row],[Valor Encerrado]]=0, ChartTable[[#This Row],[Valor Ativo]]=""), 1, 0)</f>
        <v>0</v>
      </c>
      <c r="E399" s="11">
        <f>IF(AND(ChartTable[[#This Row],[Valor Ativo]]&lt;&gt;"", ChartTable[[#This Row],[Valor Encerrado]]=""), 1, 0)</f>
        <v>1</v>
      </c>
      <c r="F399" s="11">
        <f>IF(AND(ChartTable[[#This Row],[Novo?]]=0, ChartTable[[#This Row],[Valor Ativo]]&lt;&gt;ChartTable[[#This Row],[Valor Encerrado]]), 1, 0)</f>
        <v>0</v>
      </c>
      <c r="G399" s="18" t="str">
        <f>IF(ChartTable[[#This Row],[Mudou?]]=1, ChartTable[[#This Row],[Valor Encerrado]]-ChartTable[[#This Row],[Valor Ativo]], "")</f>
        <v/>
      </c>
      <c r="H399" s="11" t="str">
        <f>IF(ChartTable[[#This Row],[Mudou?]]=1, IF(ChartTable[[#This Row],[Diferença]]&gt;0, "aumentou", "diminuiu"), "")</f>
        <v/>
      </c>
      <c r="I399" s="11" t="str" cm="1">
        <f t="array" ref="I399">_xlfn.IFS(ChartTable[[#This Row],[Exluido?]]=1,"Excluido",ChartTable[[#This Row],[Novo?]]=1, "Novo", ChartTable[[#This Row],[Mudou?]]=1, "Mudou")</f>
        <v>Novo</v>
      </c>
    </row>
    <row r="400" spans="1:9" x14ac:dyDescent="0.25">
      <c r="A400" t="s">
        <v>409</v>
      </c>
      <c r="B400" s="10">
        <v>11994.079563754722</v>
      </c>
      <c r="C400" s="10"/>
      <c r="D400" s="11">
        <f>IF(AND(ChartTable[[#This Row],[Valor Encerrado]]=0, ChartTable[[#This Row],[Valor Ativo]]=""), 1, 0)</f>
        <v>0</v>
      </c>
      <c r="E400" s="11">
        <f>IF(AND(ChartTable[[#This Row],[Valor Ativo]]&lt;&gt;"", ChartTable[[#This Row],[Valor Encerrado]]=""), 1, 0)</f>
        <v>1</v>
      </c>
      <c r="F400" s="11">
        <f>IF(AND(ChartTable[[#This Row],[Novo?]]=0, ChartTable[[#This Row],[Valor Ativo]]&lt;&gt;ChartTable[[#This Row],[Valor Encerrado]]), 1, 0)</f>
        <v>0</v>
      </c>
      <c r="G400" s="18" t="str">
        <f>IF(ChartTable[[#This Row],[Mudou?]]=1, ChartTable[[#This Row],[Valor Encerrado]]-ChartTable[[#This Row],[Valor Ativo]], "")</f>
        <v/>
      </c>
      <c r="H400" s="11" t="str">
        <f>IF(ChartTable[[#This Row],[Mudou?]]=1, IF(ChartTable[[#This Row],[Diferença]]&gt;0, "aumentou", "diminuiu"), "")</f>
        <v/>
      </c>
      <c r="I400" s="11" t="str" cm="1">
        <f t="array" ref="I400">_xlfn.IFS(ChartTable[[#This Row],[Exluido?]]=1,"Excluido",ChartTable[[#This Row],[Novo?]]=1, "Novo", ChartTable[[#This Row],[Mudou?]]=1, "Mudou")</f>
        <v>Novo</v>
      </c>
    </row>
    <row r="401" spans="1:9" x14ac:dyDescent="0.25">
      <c r="A401" t="s">
        <v>410</v>
      </c>
      <c r="B401" s="10">
        <v>11994.079563754722</v>
      </c>
      <c r="C401" s="10"/>
      <c r="D401" s="11">
        <f>IF(AND(ChartTable[[#This Row],[Valor Encerrado]]=0, ChartTable[[#This Row],[Valor Ativo]]=""), 1, 0)</f>
        <v>0</v>
      </c>
      <c r="E401" s="11">
        <f>IF(AND(ChartTable[[#This Row],[Valor Ativo]]&lt;&gt;"", ChartTable[[#This Row],[Valor Encerrado]]=""), 1, 0)</f>
        <v>1</v>
      </c>
      <c r="F401" s="11">
        <f>IF(AND(ChartTable[[#This Row],[Novo?]]=0, ChartTable[[#This Row],[Valor Ativo]]&lt;&gt;ChartTable[[#This Row],[Valor Encerrado]]), 1, 0)</f>
        <v>0</v>
      </c>
      <c r="G401" s="18" t="str">
        <f>IF(ChartTable[[#This Row],[Mudou?]]=1, ChartTable[[#This Row],[Valor Encerrado]]-ChartTable[[#This Row],[Valor Ativo]], "")</f>
        <v/>
      </c>
      <c r="H401" s="11" t="str">
        <f>IF(ChartTable[[#This Row],[Mudou?]]=1, IF(ChartTable[[#This Row],[Diferença]]&gt;0, "aumentou", "diminuiu"), "")</f>
        <v/>
      </c>
      <c r="I401" s="11" t="str" cm="1">
        <f t="array" ref="I401">_xlfn.IFS(ChartTable[[#This Row],[Exluido?]]=1,"Excluido",ChartTable[[#This Row],[Novo?]]=1, "Novo", ChartTable[[#This Row],[Mudou?]]=1, "Mudou")</f>
        <v>Novo</v>
      </c>
    </row>
    <row r="402" spans="1:9" x14ac:dyDescent="0.25">
      <c r="A402" t="s">
        <v>411</v>
      </c>
      <c r="B402" s="10">
        <v>11994.079563754722</v>
      </c>
      <c r="C402" s="10"/>
      <c r="D402" s="11">
        <f>IF(AND(ChartTable[[#This Row],[Valor Encerrado]]=0, ChartTable[[#This Row],[Valor Ativo]]=""), 1, 0)</f>
        <v>0</v>
      </c>
      <c r="E402" s="11">
        <f>IF(AND(ChartTable[[#This Row],[Valor Ativo]]&lt;&gt;"", ChartTable[[#This Row],[Valor Encerrado]]=""), 1, 0)</f>
        <v>1</v>
      </c>
      <c r="F402" s="11">
        <f>IF(AND(ChartTable[[#This Row],[Novo?]]=0, ChartTable[[#This Row],[Valor Ativo]]&lt;&gt;ChartTable[[#This Row],[Valor Encerrado]]), 1, 0)</f>
        <v>0</v>
      </c>
      <c r="G402" s="18" t="str">
        <f>IF(ChartTable[[#This Row],[Mudou?]]=1, ChartTable[[#This Row],[Valor Encerrado]]-ChartTable[[#This Row],[Valor Ativo]], "")</f>
        <v/>
      </c>
      <c r="H402" s="11" t="str">
        <f>IF(ChartTable[[#This Row],[Mudou?]]=1, IF(ChartTable[[#This Row],[Diferença]]&gt;0, "aumentou", "diminuiu"), "")</f>
        <v/>
      </c>
      <c r="I402" s="11" t="str" cm="1">
        <f t="array" ref="I402">_xlfn.IFS(ChartTable[[#This Row],[Exluido?]]=1,"Excluido",ChartTable[[#This Row],[Novo?]]=1, "Novo", ChartTable[[#This Row],[Mudou?]]=1, "Mudou")</f>
        <v>Novo</v>
      </c>
    </row>
    <row r="403" spans="1:9" x14ac:dyDescent="0.25">
      <c r="A403" t="s">
        <v>412</v>
      </c>
      <c r="B403" s="10">
        <v>11994.079563754722</v>
      </c>
      <c r="C403" s="10"/>
      <c r="D403" s="11">
        <f>IF(AND(ChartTable[[#This Row],[Valor Encerrado]]=0, ChartTable[[#This Row],[Valor Ativo]]=""), 1, 0)</f>
        <v>0</v>
      </c>
      <c r="E403" s="11">
        <f>IF(AND(ChartTable[[#This Row],[Valor Ativo]]&lt;&gt;"", ChartTable[[#This Row],[Valor Encerrado]]=""), 1, 0)</f>
        <v>1</v>
      </c>
      <c r="F403" s="11">
        <f>IF(AND(ChartTable[[#This Row],[Novo?]]=0, ChartTable[[#This Row],[Valor Ativo]]&lt;&gt;ChartTable[[#This Row],[Valor Encerrado]]), 1, 0)</f>
        <v>0</v>
      </c>
      <c r="G403" s="18" t="str">
        <f>IF(ChartTable[[#This Row],[Mudou?]]=1, ChartTable[[#This Row],[Valor Encerrado]]-ChartTable[[#This Row],[Valor Ativo]], "")</f>
        <v/>
      </c>
      <c r="H403" s="11" t="str">
        <f>IF(ChartTable[[#This Row],[Mudou?]]=1, IF(ChartTable[[#This Row],[Diferença]]&gt;0, "aumentou", "diminuiu"), "")</f>
        <v/>
      </c>
      <c r="I403" s="11" t="str" cm="1">
        <f t="array" ref="I403">_xlfn.IFS(ChartTable[[#This Row],[Exluido?]]=1,"Excluido",ChartTable[[#This Row],[Novo?]]=1, "Novo", ChartTable[[#This Row],[Mudou?]]=1, "Mudou")</f>
        <v>Novo</v>
      </c>
    </row>
    <row r="404" spans="1:9" x14ac:dyDescent="0.25">
      <c r="A404" t="s">
        <v>413</v>
      </c>
      <c r="B404" s="10">
        <v>11994.079563754722</v>
      </c>
      <c r="C404" s="10"/>
      <c r="D404" s="11">
        <f>IF(AND(ChartTable[[#This Row],[Valor Encerrado]]=0, ChartTable[[#This Row],[Valor Ativo]]=""), 1, 0)</f>
        <v>0</v>
      </c>
      <c r="E404" s="11">
        <f>IF(AND(ChartTable[[#This Row],[Valor Ativo]]&lt;&gt;"", ChartTable[[#This Row],[Valor Encerrado]]=""), 1, 0)</f>
        <v>1</v>
      </c>
      <c r="F404" s="11">
        <f>IF(AND(ChartTable[[#This Row],[Novo?]]=0, ChartTable[[#This Row],[Valor Ativo]]&lt;&gt;ChartTable[[#This Row],[Valor Encerrado]]), 1, 0)</f>
        <v>0</v>
      </c>
      <c r="G404" s="18" t="str">
        <f>IF(ChartTable[[#This Row],[Mudou?]]=1, ChartTable[[#This Row],[Valor Encerrado]]-ChartTable[[#This Row],[Valor Ativo]], "")</f>
        <v/>
      </c>
      <c r="H404" s="11" t="str">
        <f>IF(ChartTable[[#This Row],[Mudou?]]=1, IF(ChartTable[[#This Row],[Diferença]]&gt;0, "aumentou", "diminuiu"), "")</f>
        <v/>
      </c>
      <c r="I404" s="11" t="str" cm="1">
        <f t="array" ref="I404">_xlfn.IFS(ChartTable[[#This Row],[Exluido?]]=1,"Excluido",ChartTable[[#This Row],[Novo?]]=1, "Novo", ChartTable[[#This Row],[Mudou?]]=1, "Mudou")</f>
        <v>Novo</v>
      </c>
    </row>
    <row r="405" spans="1:9" x14ac:dyDescent="0.25">
      <c r="A405" t="s">
        <v>414</v>
      </c>
      <c r="B405" s="10">
        <v>11994.079563754722</v>
      </c>
      <c r="C405" s="10"/>
      <c r="D405" s="11">
        <f>IF(AND(ChartTable[[#This Row],[Valor Encerrado]]=0, ChartTable[[#This Row],[Valor Ativo]]=""), 1, 0)</f>
        <v>0</v>
      </c>
      <c r="E405" s="11">
        <f>IF(AND(ChartTable[[#This Row],[Valor Ativo]]&lt;&gt;"", ChartTable[[#This Row],[Valor Encerrado]]=""), 1, 0)</f>
        <v>1</v>
      </c>
      <c r="F405" s="11">
        <f>IF(AND(ChartTable[[#This Row],[Novo?]]=0, ChartTable[[#This Row],[Valor Ativo]]&lt;&gt;ChartTable[[#This Row],[Valor Encerrado]]), 1, 0)</f>
        <v>0</v>
      </c>
      <c r="G405" s="18" t="str">
        <f>IF(ChartTable[[#This Row],[Mudou?]]=1, ChartTable[[#This Row],[Valor Encerrado]]-ChartTable[[#This Row],[Valor Ativo]], "")</f>
        <v/>
      </c>
      <c r="H405" s="11" t="str">
        <f>IF(ChartTable[[#This Row],[Mudou?]]=1, IF(ChartTable[[#This Row],[Diferença]]&gt;0, "aumentou", "diminuiu"), "")</f>
        <v/>
      </c>
      <c r="I405" s="11" t="str" cm="1">
        <f t="array" ref="I405">_xlfn.IFS(ChartTable[[#This Row],[Exluido?]]=1,"Excluido",ChartTable[[#This Row],[Novo?]]=1, "Novo", ChartTable[[#This Row],[Mudou?]]=1, "Mudou")</f>
        <v>Novo</v>
      </c>
    </row>
    <row r="406" spans="1:9" x14ac:dyDescent="0.25">
      <c r="A406" t="s">
        <v>415</v>
      </c>
      <c r="B406" s="10">
        <v>11994.079563754722</v>
      </c>
      <c r="C406" s="10"/>
      <c r="D406" s="11">
        <f>IF(AND(ChartTable[[#This Row],[Valor Encerrado]]=0, ChartTable[[#This Row],[Valor Ativo]]=""), 1, 0)</f>
        <v>0</v>
      </c>
      <c r="E406" s="11">
        <f>IF(AND(ChartTable[[#This Row],[Valor Ativo]]&lt;&gt;"", ChartTable[[#This Row],[Valor Encerrado]]=""), 1, 0)</f>
        <v>1</v>
      </c>
      <c r="F406" s="11">
        <f>IF(AND(ChartTable[[#This Row],[Novo?]]=0, ChartTable[[#This Row],[Valor Ativo]]&lt;&gt;ChartTable[[#This Row],[Valor Encerrado]]), 1, 0)</f>
        <v>0</v>
      </c>
      <c r="G406" s="18" t="str">
        <f>IF(ChartTable[[#This Row],[Mudou?]]=1, ChartTable[[#This Row],[Valor Encerrado]]-ChartTable[[#This Row],[Valor Ativo]], "")</f>
        <v/>
      </c>
      <c r="H406" s="11" t="str">
        <f>IF(ChartTable[[#This Row],[Mudou?]]=1, IF(ChartTable[[#This Row],[Diferença]]&gt;0, "aumentou", "diminuiu"), "")</f>
        <v/>
      </c>
      <c r="I406" s="11" t="str" cm="1">
        <f t="array" ref="I406">_xlfn.IFS(ChartTable[[#This Row],[Exluido?]]=1,"Excluido",ChartTable[[#This Row],[Novo?]]=1, "Novo", ChartTable[[#This Row],[Mudou?]]=1, "Mudou")</f>
        <v>Novo</v>
      </c>
    </row>
    <row r="407" spans="1:9" x14ac:dyDescent="0.25">
      <c r="A407" t="s">
        <v>416</v>
      </c>
      <c r="B407" s="10">
        <v>11994.079563754722</v>
      </c>
      <c r="C407" s="10"/>
      <c r="D407" s="11">
        <f>IF(AND(ChartTable[[#This Row],[Valor Encerrado]]=0, ChartTable[[#This Row],[Valor Ativo]]=""), 1, 0)</f>
        <v>0</v>
      </c>
      <c r="E407" s="11">
        <f>IF(AND(ChartTable[[#This Row],[Valor Ativo]]&lt;&gt;"", ChartTable[[#This Row],[Valor Encerrado]]=""), 1, 0)</f>
        <v>1</v>
      </c>
      <c r="F407" s="11">
        <f>IF(AND(ChartTable[[#This Row],[Novo?]]=0, ChartTable[[#This Row],[Valor Ativo]]&lt;&gt;ChartTable[[#This Row],[Valor Encerrado]]), 1, 0)</f>
        <v>0</v>
      </c>
      <c r="G407" s="18" t="str">
        <f>IF(ChartTable[[#This Row],[Mudou?]]=1, ChartTable[[#This Row],[Valor Encerrado]]-ChartTable[[#This Row],[Valor Ativo]], "")</f>
        <v/>
      </c>
      <c r="H407" s="11" t="str">
        <f>IF(ChartTable[[#This Row],[Mudou?]]=1, IF(ChartTable[[#This Row],[Diferença]]&gt;0, "aumentou", "diminuiu"), "")</f>
        <v/>
      </c>
      <c r="I407" s="11" t="str" cm="1">
        <f t="array" ref="I407">_xlfn.IFS(ChartTable[[#This Row],[Exluido?]]=1,"Excluido",ChartTable[[#This Row],[Novo?]]=1, "Novo", ChartTable[[#This Row],[Mudou?]]=1, "Mudou")</f>
        <v>Novo</v>
      </c>
    </row>
    <row r="408" spans="1:9" x14ac:dyDescent="0.25">
      <c r="A408" t="s">
        <v>417</v>
      </c>
      <c r="B408" s="10">
        <v>11994.079563754722</v>
      </c>
      <c r="C408" s="10"/>
      <c r="D408" s="11">
        <f>IF(AND(ChartTable[[#This Row],[Valor Encerrado]]=0, ChartTable[[#This Row],[Valor Ativo]]=""), 1, 0)</f>
        <v>0</v>
      </c>
      <c r="E408" s="11">
        <f>IF(AND(ChartTable[[#This Row],[Valor Ativo]]&lt;&gt;"", ChartTable[[#This Row],[Valor Encerrado]]=""), 1, 0)</f>
        <v>1</v>
      </c>
      <c r="F408" s="11">
        <f>IF(AND(ChartTable[[#This Row],[Novo?]]=0, ChartTable[[#This Row],[Valor Ativo]]&lt;&gt;ChartTable[[#This Row],[Valor Encerrado]]), 1, 0)</f>
        <v>0</v>
      </c>
      <c r="G408" s="18" t="str">
        <f>IF(ChartTable[[#This Row],[Mudou?]]=1, ChartTable[[#This Row],[Valor Encerrado]]-ChartTable[[#This Row],[Valor Ativo]], "")</f>
        <v/>
      </c>
      <c r="H408" s="11" t="str">
        <f>IF(ChartTable[[#This Row],[Mudou?]]=1, IF(ChartTable[[#This Row],[Diferença]]&gt;0, "aumentou", "diminuiu"), "")</f>
        <v/>
      </c>
      <c r="I408" s="11" t="str" cm="1">
        <f t="array" ref="I408">_xlfn.IFS(ChartTable[[#This Row],[Exluido?]]=1,"Excluido",ChartTable[[#This Row],[Novo?]]=1, "Novo", ChartTable[[#This Row],[Mudou?]]=1, "Mudou")</f>
        <v>Novo</v>
      </c>
    </row>
    <row r="409" spans="1:9" x14ac:dyDescent="0.25">
      <c r="A409" t="s">
        <v>418</v>
      </c>
      <c r="B409" s="10">
        <v>11994.079563754722</v>
      </c>
      <c r="C409" s="10"/>
      <c r="D409" s="11">
        <f>IF(AND(ChartTable[[#This Row],[Valor Encerrado]]=0, ChartTable[[#This Row],[Valor Ativo]]=""), 1, 0)</f>
        <v>0</v>
      </c>
      <c r="E409" s="11">
        <f>IF(AND(ChartTable[[#This Row],[Valor Ativo]]&lt;&gt;"", ChartTable[[#This Row],[Valor Encerrado]]=""), 1, 0)</f>
        <v>1</v>
      </c>
      <c r="F409" s="11">
        <f>IF(AND(ChartTable[[#This Row],[Novo?]]=0, ChartTable[[#This Row],[Valor Ativo]]&lt;&gt;ChartTable[[#This Row],[Valor Encerrado]]), 1, 0)</f>
        <v>0</v>
      </c>
      <c r="G409" s="18" t="str">
        <f>IF(ChartTable[[#This Row],[Mudou?]]=1, ChartTable[[#This Row],[Valor Encerrado]]-ChartTable[[#This Row],[Valor Ativo]], "")</f>
        <v/>
      </c>
      <c r="H409" s="11" t="str">
        <f>IF(ChartTable[[#This Row],[Mudou?]]=1, IF(ChartTable[[#This Row],[Diferença]]&gt;0, "aumentou", "diminuiu"), "")</f>
        <v/>
      </c>
      <c r="I409" s="11" t="str" cm="1">
        <f t="array" ref="I409">_xlfn.IFS(ChartTable[[#This Row],[Exluido?]]=1,"Excluido",ChartTable[[#This Row],[Novo?]]=1, "Novo", ChartTable[[#This Row],[Mudou?]]=1, "Mudou")</f>
        <v>Novo</v>
      </c>
    </row>
    <row r="410" spans="1:9" x14ac:dyDescent="0.25">
      <c r="A410" t="s">
        <v>419</v>
      </c>
      <c r="B410" s="10">
        <v>11994.079563754722</v>
      </c>
      <c r="C410" s="10"/>
      <c r="D410" s="11">
        <f>IF(AND(ChartTable[[#This Row],[Valor Encerrado]]=0, ChartTable[[#This Row],[Valor Ativo]]=""), 1, 0)</f>
        <v>0</v>
      </c>
      <c r="E410" s="11">
        <f>IF(AND(ChartTable[[#This Row],[Valor Ativo]]&lt;&gt;"", ChartTable[[#This Row],[Valor Encerrado]]=""), 1, 0)</f>
        <v>1</v>
      </c>
      <c r="F410" s="11">
        <f>IF(AND(ChartTable[[#This Row],[Novo?]]=0, ChartTable[[#This Row],[Valor Ativo]]&lt;&gt;ChartTable[[#This Row],[Valor Encerrado]]), 1, 0)</f>
        <v>0</v>
      </c>
      <c r="G410" s="18" t="str">
        <f>IF(ChartTable[[#This Row],[Mudou?]]=1, ChartTable[[#This Row],[Valor Encerrado]]-ChartTable[[#This Row],[Valor Ativo]], "")</f>
        <v/>
      </c>
      <c r="H410" s="11" t="str">
        <f>IF(ChartTable[[#This Row],[Mudou?]]=1, IF(ChartTable[[#This Row],[Diferença]]&gt;0, "aumentou", "diminuiu"), "")</f>
        <v/>
      </c>
      <c r="I410" s="11" t="str" cm="1">
        <f t="array" ref="I410">_xlfn.IFS(ChartTable[[#This Row],[Exluido?]]=1,"Excluido",ChartTable[[#This Row],[Novo?]]=1, "Novo", ChartTable[[#This Row],[Mudou?]]=1, "Mudou")</f>
        <v>Novo</v>
      </c>
    </row>
    <row r="411" spans="1:9" x14ac:dyDescent="0.25">
      <c r="A411" t="s">
        <v>420</v>
      </c>
      <c r="B411" s="10">
        <v>11994.079563754722</v>
      </c>
      <c r="C411" s="10"/>
      <c r="D411" s="11">
        <f>IF(AND(ChartTable[[#This Row],[Valor Encerrado]]=0, ChartTable[[#This Row],[Valor Ativo]]=""), 1, 0)</f>
        <v>0</v>
      </c>
      <c r="E411" s="11">
        <f>IF(AND(ChartTable[[#This Row],[Valor Ativo]]&lt;&gt;"", ChartTable[[#This Row],[Valor Encerrado]]=""), 1, 0)</f>
        <v>1</v>
      </c>
      <c r="F411" s="11">
        <f>IF(AND(ChartTable[[#This Row],[Novo?]]=0, ChartTable[[#This Row],[Valor Ativo]]&lt;&gt;ChartTable[[#This Row],[Valor Encerrado]]), 1, 0)</f>
        <v>0</v>
      </c>
      <c r="G411" s="18" t="str">
        <f>IF(ChartTable[[#This Row],[Mudou?]]=1, ChartTable[[#This Row],[Valor Encerrado]]-ChartTable[[#This Row],[Valor Ativo]], "")</f>
        <v/>
      </c>
      <c r="H411" s="11" t="str">
        <f>IF(ChartTable[[#This Row],[Mudou?]]=1, IF(ChartTable[[#This Row],[Diferença]]&gt;0, "aumentou", "diminuiu"), "")</f>
        <v/>
      </c>
      <c r="I411" s="11" t="str" cm="1">
        <f t="array" ref="I411">_xlfn.IFS(ChartTable[[#This Row],[Exluido?]]=1,"Excluido",ChartTable[[#This Row],[Novo?]]=1, "Novo", ChartTable[[#This Row],[Mudou?]]=1, "Mudou")</f>
        <v>Novo</v>
      </c>
    </row>
    <row r="412" spans="1:9" x14ac:dyDescent="0.25">
      <c r="A412" t="s">
        <v>421</v>
      </c>
      <c r="B412" s="10">
        <v>11994.079563754722</v>
      </c>
      <c r="C412" s="10"/>
      <c r="D412" s="11">
        <f>IF(AND(ChartTable[[#This Row],[Valor Encerrado]]=0, ChartTable[[#This Row],[Valor Ativo]]=""), 1, 0)</f>
        <v>0</v>
      </c>
      <c r="E412" s="11">
        <f>IF(AND(ChartTable[[#This Row],[Valor Ativo]]&lt;&gt;"", ChartTable[[#This Row],[Valor Encerrado]]=""), 1, 0)</f>
        <v>1</v>
      </c>
      <c r="F412" s="11">
        <f>IF(AND(ChartTable[[#This Row],[Novo?]]=0, ChartTable[[#This Row],[Valor Ativo]]&lt;&gt;ChartTable[[#This Row],[Valor Encerrado]]), 1, 0)</f>
        <v>0</v>
      </c>
      <c r="G412" s="18" t="str">
        <f>IF(ChartTable[[#This Row],[Mudou?]]=1, ChartTable[[#This Row],[Valor Encerrado]]-ChartTable[[#This Row],[Valor Ativo]], "")</f>
        <v/>
      </c>
      <c r="H412" s="11" t="str">
        <f>IF(ChartTable[[#This Row],[Mudou?]]=1, IF(ChartTable[[#This Row],[Diferença]]&gt;0, "aumentou", "diminuiu"), "")</f>
        <v/>
      </c>
      <c r="I412" s="11" t="str" cm="1">
        <f t="array" ref="I412">_xlfn.IFS(ChartTable[[#This Row],[Exluido?]]=1,"Excluido",ChartTable[[#This Row],[Novo?]]=1, "Novo", ChartTable[[#This Row],[Mudou?]]=1, "Mudou")</f>
        <v>Novo</v>
      </c>
    </row>
    <row r="413" spans="1:9" x14ac:dyDescent="0.25">
      <c r="A413" t="s">
        <v>422</v>
      </c>
      <c r="B413" s="10">
        <v>11994.079563754722</v>
      </c>
      <c r="C413" s="10"/>
      <c r="D413" s="11">
        <f>IF(AND(ChartTable[[#This Row],[Valor Encerrado]]=0, ChartTable[[#This Row],[Valor Ativo]]=""), 1, 0)</f>
        <v>0</v>
      </c>
      <c r="E413" s="11">
        <f>IF(AND(ChartTable[[#This Row],[Valor Ativo]]&lt;&gt;"", ChartTable[[#This Row],[Valor Encerrado]]=""), 1, 0)</f>
        <v>1</v>
      </c>
      <c r="F413" s="11">
        <f>IF(AND(ChartTable[[#This Row],[Novo?]]=0, ChartTable[[#This Row],[Valor Ativo]]&lt;&gt;ChartTable[[#This Row],[Valor Encerrado]]), 1, 0)</f>
        <v>0</v>
      </c>
      <c r="G413" s="18" t="str">
        <f>IF(ChartTable[[#This Row],[Mudou?]]=1, ChartTable[[#This Row],[Valor Encerrado]]-ChartTable[[#This Row],[Valor Ativo]], "")</f>
        <v/>
      </c>
      <c r="H413" s="11" t="str">
        <f>IF(ChartTable[[#This Row],[Mudou?]]=1, IF(ChartTable[[#This Row],[Diferença]]&gt;0, "aumentou", "diminuiu"), "")</f>
        <v/>
      </c>
      <c r="I413" s="11" t="str" cm="1">
        <f t="array" ref="I413">_xlfn.IFS(ChartTable[[#This Row],[Exluido?]]=1,"Excluido",ChartTable[[#This Row],[Novo?]]=1, "Novo", ChartTable[[#This Row],[Mudou?]]=1, "Mudou")</f>
        <v>Novo</v>
      </c>
    </row>
    <row r="414" spans="1:9" x14ac:dyDescent="0.25">
      <c r="A414" t="s">
        <v>423</v>
      </c>
      <c r="B414" s="10">
        <v>11994.079563754722</v>
      </c>
      <c r="C414" s="10"/>
      <c r="D414" s="11">
        <f>IF(AND(ChartTable[[#This Row],[Valor Encerrado]]=0, ChartTable[[#This Row],[Valor Ativo]]=""), 1, 0)</f>
        <v>0</v>
      </c>
      <c r="E414" s="11">
        <f>IF(AND(ChartTable[[#This Row],[Valor Ativo]]&lt;&gt;"", ChartTable[[#This Row],[Valor Encerrado]]=""), 1, 0)</f>
        <v>1</v>
      </c>
      <c r="F414" s="11">
        <f>IF(AND(ChartTable[[#This Row],[Novo?]]=0, ChartTable[[#This Row],[Valor Ativo]]&lt;&gt;ChartTable[[#This Row],[Valor Encerrado]]), 1, 0)</f>
        <v>0</v>
      </c>
      <c r="G414" s="18" t="str">
        <f>IF(ChartTable[[#This Row],[Mudou?]]=1, ChartTable[[#This Row],[Valor Encerrado]]-ChartTable[[#This Row],[Valor Ativo]], "")</f>
        <v/>
      </c>
      <c r="H414" s="11" t="str">
        <f>IF(ChartTable[[#This Row],[Mudou?]]=1, IF(ChartTable[[#This Row],[Diferença]]&gt;0, "aumentou", "diminuiu"), "")</f>
        <v/>
      </c>
      <c r="I414" s="11" t="str" cm="1">
        <f t="array" ref="I414">_xlfn.IFS(ChartTable[[#This Row],[Exluido?]]=1,"Excluido",ChartTable[[#This Row],[Novo?]]=1, "Novo", ChartTable[[#This Row],[Mudou?]]=1, "Mudou")</f>
        <v>Novo</v>
      </c>
    </row>
    <row r="415" spans="1:9" x14ac:dyDescent="0.25">
      <c r="A415" t="s">
        <v>424</v>
      </c>
      <c r="B415" s="10">
        <v>11994.079563754722</v>
      </c>
      <c r="C415" s="10"/>
      <c r="D415" s="11">
        <f>IF(AND(ChartTable[[#This Row],[Valor Encerrado]]=0, ChartTable[[#This Row],[Valor Ativo]]=""), 1, 0)</f>
        <v>0</v>
      </c>
      <c r="E415" s="11">
        <f>IF(AND(ChartTable[[#This Row],[Valor Ativo]]&lt;&gt;"", ChartTable[[#This Row],[Valor Encerrado]]=""), 1, 0)</f>
        <v>1</v>
      </c>
      <c r="F415" s="11">
        <f>IF(AND(ChartTable[[#This Row],[Novo?]]=0, ChartTable[[#This Row],[Valor Ativo]]&lt;&gt;ChartTable[[#This Row],[Valor Encerrado]]), 1, 0)</f>
        <v>0</v>
      </c>
      <c r="G415" s="18" t="str">
        <f>IF(ChartTable[[#This Row],[Mudou?]]=1, ChartTable[[#This Row],[Valor Encerrado]]-ChartTable[[#This Row],[Valor Ativo]], "")</f>
        <v/>
      </c>
      <c r="H415" s="11" t="str">
        <f>IF(ChartTable[[#This Row],[Mudou?]]=1, IF(ChartTable[[#This Row],[Diferença]]&gt;0, "aumentou", "diminuiu"), "")</f>
        <v/>
      </c>
      <c r="I415" s="11" t="str" cm="1">
        <f t="array" ref="I415">_xlfn.IFS(ChartTable[[#This Row],[Exluido?]]=1,"Excluido",ChartTable[[#This Row],[Novo?]]=1, "Novo", ChartTable[[#This Row],[Mudou?]]=1, "Mudou")</f>
        <v>Novo</v>
      </c>
    </row>
    <row r="416" spans="1:9" x14ac:dyDescent="0.25">
      <c r="A416" t="s">
        <v>425</v>
      </c>
      <c r="B416" s="10">
        <v>11994.079563754722</v>
      </c>
      <c r="C416" s="10"/>
      <c r="D416" s="11">
        <f>IF(AND(ChartTable[[#This Row],[Valor Encerrado]]=0, ChartTable[[#This Row],[Valor Ativo]]=""), 1, 0)</f>
        <v>0</v>
      </c>
      <c r="E416" s="11">
        <f>IF(AND(ChartTable[[#This Row],[Valor Ativo]]&lt;&gt;"", ChartTable[[#This Row],[Valor Encerrado]]=""), 1, 0)</f>
        <v>1</v>
      </c>
      <c r="F416" s="11">
        <f>IF(AND(ChartTable[[#This Row],[Novo?]]=0, ChartTable[[#This Row],[Valor Ativo]]&lt;&gt;ChartTable[[#This Row],[Valor Encerrado]]), 1, 0)</f>
        <v>0</v>
      </c>
      <c r="G416" s="18" t="str">
        <f>IF(ChartTable[[#This Row],[Mudou?]]=1, ChartTable[[#This Row],[Valor Encerrado]]-ChartTable[[#This Row],[Valor Ativo]], "")</f>
        <v/>
      </c>
      <c r="H416" s="11" t="str">
        <f>IF(ChartTable[[#This Row],[Mudou?]]=1, IF(ChartTable[[#This Row],[Diferença]]&gt;0, "aumentou", "diminuiu"), "")</f>
        <v/>
      </c>
      <c r="I416" s="11" t="str" cm="1">
        <f t="array" ref="I416">_xlfn.IFS(ChartTable[[#This Row],[Exluido?]]=1,"Excluido",ChartTable[[#This Row],[Novo?]]=1, "Novo", ChartTable[[#This Row],[Mudou?]]=1, "Mudou")</f>
        <v>Novo</v>
      </c>
    </row>
    <row r="417" spans="1:9" x14ac:dyDescent="0.25">
      <c r="A417" t="s">
        <v>426</v>
      </c>
      <c r="B417" s="10">
        <v>11994.079563754722</v>
      </c>
      <c r="C417" s="10"/>
      <c r="D417" s="11">
        <f>IF(AND(ChartTable[[#This Row],[Valor Encerrado]]=0, ChartTable[[#This Row],[Valor Ativo]]=""), 1, 0)</f>
        <v>0</v>
      </c>
      <c r="E417" s="11">
        <f>IF(AND(ChartTable[[#This Row],[Valor Ativo]]&lt;&gt;"", ChartTable[[#This Row],[Valor Encerrado]]=""), 1, 0)</f>
        <v>1</v>
      </c>
      <c r="F417" s="11">
        <f>IF(AND(ChartTable[[#This Row],[Novo?]]=0, ChartTable[[#This Row],[Valor Ativo]]&lt;&gt;ChartTable[[#This Row],[Valor Encerrado]]), 1, 0)</f>
        <v>0</v>
      </c>
      <c r="G417" s="18" t="str">
        <f>IF(ChartTable[[#This Row],[Mudou?]]=1, ChartTable[[#This Row],[Valor Encerrado]]-ChartTable[[#This Row],[Valor Ativo]], "")</f>
        <v/>
      </c>
      <c r="H417" s="11" t="str">
        <f>IF(ChartTable[[#This Row],[Mudou?]]=1, IF(ChartTable[[#This Row],[Diferença]]&gt;0, "aumentou", "diminuiu"), "")</f>
        <v/>
      </c>
      <c r="I417" s="11" t="str" cm="1">
        <f t="array" ref="I417">_xlfn.IFS(ChartTable[[#This Row],[Exluido?]]=1,"Excluido",ChartTable[[#This Row],[Novo?]]=1, "Novo", ChartTable[[#This Row],[Mudou?]]=1, "Mudou")</f>
        <v>Novo</v>
      </c>
    </row>
    <row r="418" spans="1:9" x14ac:dyDescent="0.25">
      <c r="A418" t="s">
        <v>427</v>
      </c>
      <c r="B418" s="10">
        <v>11994.079563754722</v>
      </c>
      <c r="C418" s="10"/>
      <c r="D418" s="11">
        <f>IF(AND(ChartTable[[#This Row],[Valor Encerrado]]=0, ChartTable[[#This Row],[Valor Ativo]]=""), 1, 0)</f>
        <v>0</v>
      </c>
      <c r="E418" s="11">
        <f>IF(AND(ChartTable[[#This Row],[Valor Ativo]]&lt;&gt;"", ChartTable[[#This Row],[Valor Encerrado]]=""), 1, 0)</f>
        <v>1</v>
      </c>
      <c r="F418" s="11">
        <f>IF(AND(ChartTable[[#This Row],[Novo?]]=0, ChartTable[[#This Row],[Valor Ativo]]&lt;&gt;ChartTable[[#This Row],[Valor Encerrado]]), 1, 0)</f>
        <v>0</v>
      </c>
      <c r="G418" s="18" t="str">
        <f>IF(ChartTable[[#This Row],[Mudou?]]=1, ChartTable[[#This Row],[Valor Encerrado]]-ChartTable[[#This Row],[Valor Ativo]], "")</f>
        <v/>
      </c>
      <c r="H418" s="11" t="str">
        <f>IF(ChartTable[[#This Row],[Mudou?]]=1, IF(ChartTable[[#This Row],[Diferença]]&gt;0, "aumentou", "diminuiu"), "")</f>
        <v/>
      </c>
      <c r="I418" s="11" t="str" cm="1">
        <f t="array" ref="I418">_xlfn.IFS(ChartTable[[#This Row],[Exluido?]]=1,"Excluido",ChartTable[[#This Row],[Novo?]]=1, "Novo", ChartTable[[#This Row],[Mudou?]]=1, "Mudou")</f>
        <v>Novo</v>
      </c>
    </row>
    <row r="419" spans="1:9" x14ac:dyDescent="0.25">
      <c r="A419" t="s">
        <v>428</v>
      </c>
      <c r="B419" s="10">
        <v>11994.079563754722</v>
      </c>
      <c r="C419" s="10"/>
      <c r="D419" s="11">
        <f>IF(AND(ChartTable[[#This Row],[Valor Encerrado]]=0, ChartTable[[#This Row],[Valor Ativo]]=""), 1, 0)</f>
        <v>0</v>
      </c>
      <c r="E419" s="11">
        <f>IF(AND(ChartTable[[#This Row],[Valor Ativo]]&lt;&gt;"", ChartTable[[#This Row],[Valor Encerrado]]=""), 1, 0)</f>
        <v>1</v>
      </c>
      <c r="F419" s="11">
        <f>IF(AND(ChartTable[[#This Row],[Novo?]]=0, ChartTable[[#This Row],[Valor Ativo]]&lt;&gt;ChartTable[[#This Row],[Valor Encerrado]]), 1, 0)</f>
        <v>0</v>
      </c>
      <c r="G419" s="18" t="str">
        <f>IF(ChartTable[[#This Row],[Mudou?]]=1, ChartTable[[#This Row],[Valor Encerrado]]-ChartTable[[#This Row],[Valor Ativo]], "")</f>
        <v/>
      </c>
      <c r="H419" s="11" t="str">
        <f>IF(ChartTable[[#This Row],[Mudou?]]=1, IF(ChartTable[[#This Row],[Diferença]]&gt;0, "aumentou", "diminuiu"), "")</f>
        <v/>
      </c>
      <c r="I419" s="11" t="str" cm="1">
        <f t="array" ref="I419">_xlfn.IFS(ChartTable[[#This Row],[Exluido?]]=1,"Excluido",ChartTable[[#This Row],[Novo?]]=1, "Novo", ChartTable[[#This Row],[Mudou?]]=1, "Mudou")</f>
        <v>Novo</v>
      </c>
    </row>
    <row r="420" spans="1:9" x14ac:dyDescent="0.25">
      <c r="A420" t="s">
        <v>429</v>
      </c>
      <c r="B420" s="10">
        <v>11994.079563754722</v>
      </c>
      <c r="C420" s="10"/>
      <c r="D420" s="11">
        <f>IF(AND(ChartTable[[#This Row],[Valor Encerrado]]=0, ChartTable[[#This Row],[Valor Ativo]]=""), 1, 0)</f>
        <v>0</v>
      </c>
      <c r="E420" s="11">
        <f>IF(AND(ChartTable[[#This Row],[Valor Ativo]]&lt;&gt;"", ChartTable[[#This Row],[Valor Encerrado]]=""), 1, 0)</f>
        <v>1</v>
      </c>
      <c r="F420" s="11">
        <f>IF(AND(ChartTable[[#This Row],[Novo?]]=0, ChartTable[[#This Row],[Valor Ativo]]&lt;&gt;ChartTable[[#This Row],[Valor Encerrado]]), 1, 0)</f>
        <v>0</v>
      </c>
      <c r="G420" s="18" t="str">
        <f>IF(ChartTable[[#This Row],[Mudou?]]=1, ChartTable[[#This Row],[Valor Encerrado]]-ChartTable[[#This Row],[Valor Ativo]], "")</f>
        <v/>
      </c>
      <c r="H420" s="11" t="str">
        <f>IF(ChartTable[[#This Row],[Mudou?]]=1, IF(ChartTable[[#This Row],[Diferença]]&gt;0, "aumentou", "diminuiu"), "")</f>
        <v/>
      </c>
      <c r="I420" s="11" t="str" cm="1">
        <f t="array" ref="I420">_xlfn.IFS(ChartTable[[#This Row],[Exluido?]]=1,"Excluido",ChartTable[[#This Row],[Novo?]]=1, "Novo", ChartTable[[#This Row],[Mudou?]]=1, "Mudou")</f>
        <v>Novo</v>
      </c>
    </row>
    <row r="421" spans="1:9" x14ac:dyDescent="0.25">
      <c r="A421" t="s">
        <v>430</v>
      </c>
      <c r="B421" s="10">
        <v>11994.079563754722</v>
      </c>
      <c r="C421" s="10"/>
      <c r="D421" s="11">
        <f>IF(AND(ChartTable[[#This Row],[Valor Encerrado]]=0, ChartTable[[#This Row],[Valor Ativo]]=""), 1, 0)</f>
        <v>0</v>
      </c>
      <c r="E421" s="11">
        <f>IF(AND(ChartTable[[#This Row],[Valor Ativo]]&lt;&gt;"", ChartTable[[#This Row],[Valor Encerrado]]=""), 1, 0)</f>
        <v>1</v>
      </c>
      <c r="F421" s="11">
        <f>IF(AND(ChartTable[[#This Row],[Novo?]]=0, ChartTable[[#This Row],[Valor Ativo]]&lt;&gt;ChartTable[[#This Row],[Valor Encerrado]]), 1, 0)</f>
        <v>0</v>
      </c>
      <c r="G421" s="18" t="str">
        <f>IF(ChartTable[[#This Row],[Mudou?]]=1, ChartTable[[#This Row],[Valor Encerrado]]-ChartTable[[#This Row],[Valor Ativo]], "")</f>
        <v/>
      </c>
      <c r="H421" s="11" t="str">
        <f>IF(ChartTable[[#This Row],[Mudou?]]=1, IF(ChartTable[[#This Row],[Diferença]]&gt;0, "aumentou", "diminuiu"), "")</f>
        <v/>
      </c>
      <c r="I421" s="11" t="str" cm="1">
        <f t="array" ref="I421">_xlfn.IFS(ChartTable[[#This Row],[Exluido?]]=1,"Excluido",ChartTable[[#This Row],[Novo?]]=1, "Novo", ChartTable[[#This Row],[Mudou?]]=1, "Mudou")</f>
        <v>Novo</v>
      </c>
    </row>
    <row r="422" spans="1:9" x14ac:dyDescent="0.25">
      <c r="A422" t="s">
        <v>431</v>
      </c>
      <c r="B422" s="10">
        <v>11994.079563754722</v>
      </c>
      <c r="C422" s="10"/>
      <c r="D422" s="11">
        <f>IF(AND(ChartTable[[#This Row],[Valor Encerrado]]=0, ChartTable[[#This Row],[Valor Ativo]]=""), 1, 0)</f>
        <v>0</v>
      </c>
      <c r="E422" s="11">
        <f>IF(AND(ChartTable[[#This Row],[Valor Ativo]]&lt;&gt;"", ChartTable[[#This Row],[Valor Encerrado]]=""), 1, 0)</f>
        <v>1</v>
      </c>
      <c r="F422" s="11">
        <f>IF(AND(ChartTable[[#This Row],[Novo?]]=0, ChartTable[[#This Row],[Valor Ativo]]&lt;&gt;ChartTable[[#This Row],[Valor Encerrado]]), 1, 0)</f>
        <v>0</v>
      </c>
      <c r="G422" s="18" t="str">
        <f>IF(ChartTable[[#This Row],[Mudou?]]=1, ChartTable[[#This Row],[Valor Encerrado]]-ChartTable[[#This Row],[Valor Ativo]], "")</f>
        <v/>
      </c>
      <c r="H422" s="11" t="str">
        <f>IF(ChartTable[[#This Row],[Mudou?]]=1, IF(ChartTable[[#This Row],[Diferença]]&gt;0, "aumentou", "diminuiu"), "")</f>
        <v/>
      </c>
      <c r="I422" s="11" t="str" cm="1">
        <f t="array" ref="I422">_xlfn.IFS(ChartTable[[#This Row],[Exluido?]]=1,"Excluido",ChartTable[[#This Row],[Novo?]]=1, "Novo", ChartTable[[#This Row],[Mudou?]]=1, "Mudou")</f>
        <v>Novo</v>
      </c>
    </row>
    <row r="423" spans="1:9" x14ac:dyDescent="0.25">
      <c r="A423" t="s">
        <v>432</v>
      </c>
      <c r="B423" s="10">
        <v>11994.079563754722</v>
      </c>
      <c r="C423" s="10"/>
      <c r="D423" s="11">
        <f>IF(AND(ChartTable[[#This Row],[Valor Encerrado]]=0, ChartTable[[#This Row],[Valor Ativo]]=""), 1, 0)</f>
        <v>0</v>
      </c>
      <c r="E423" s="11">
        <f>IF(AND(ChartTable[[#This Row],[Valor Ativo]]&lt;&gt;"", ChartTable[[#This Row],[Valor Encerrado]]=""), 1, 0)</f>
        <v>1</v>
      </c>
      <c r="F423" s="11">
        <f>IF(AND(ChartTable[[#This Row],[Novo?]]=0, ChartTable[[#This Row],[Valor Ativo]]&lt;&gt;ChartTable[[#This Row],[Valor Encerrado]]), 1, 0)</f>
        <v>0</v>
      </c>
      <c r="G423" s="18" t="str">
        <f>IF(ChartTable[[#This Row],[Mudou?]]=1, ChartTable[[#This Row],[Valor Encerrado]]-ChartTable[[#This Row],[Valor Ativo]], "")</f>
        <v/>
      </c>
      <c r="H423" s="11" t="str">
        <f>IF(ChartTable[[#This Row],[Mudou?]]=1, IF(ChartTable[[#This Row],[Diferença]]&gt;0, "aumentou", "diminuiu"), "")</f>
        <v/>
      </c>
      <c r="I423" s="11" t="str" cm="1">
        <f t="array" ref="I423">_xlfn.IFS(ChartTable[[#This Row],[Exluido?]]=1,"Excluido",ChartTable[[#This Row],[Novo?]]=1, "Novo", ChartTable[[#This Row],[Mudou?]]=1, "Mudou")</f>
        <v>Novo</v>
      </c>
    </row>
    <row r="424" spans="1:9" x14ac:dyDescent="0.25">
      <c r="A424" t="s">
        <v>433</v>
      </c>
      <c r="B424" s="10">
        <v>11994.079563754722</v>
      </c>
      <c r="C424" s="10"/>
      <c r="D424" s="11">
        <f>IF(AND(ChartTable[[#This Row],[Valor Encerrado]]=0, ChartTable[[#This Row],[Valor Ativo]]=""), 1, 0)</f>
        <v>0</v>
      </c>
      <c r="E424" s="11">
        <f>IF(AND(ChartTable[[#This Row],[Valor Ativo]]&lt;&gt;"", ChartTable[[#This Row],[Valor Encerrado]]=""), 1, 0)</f>
        <v>1</v>
      </c>
      <c r="F424" s="11">
        <f>IF(AND(ChartTable[[#This Row],[Novo?]]=0, ChartTable[[#This Row],[Valor Ativo]]&lt;&gt;ChartTable[[#This Row],[Valor Encerrado]]), 1, 0)</f>
        <v>0</v>
      </c>
      <c r="G424" s="18" t="str">
        <f>IF(ChartTable[[#This Row],[Mudou?]]=1, ChartTable[[#This Row],[Valor Encerrado]]-ChartTable[[#This Row],[Valor Ativo]], "")</f>
        <v/>
      </c>
      <c r="H424" s="11" t="str">
        <f>IF(ChartTable[[#This Row],[Mudou?]]=1, IF(ChartTable[[#This Row],[Diferença]]&gt;0, "aumentou", "diminuiu"), "")</f>
        <v/>
      </c>
      <c r="I424" s="11" t="str" cm="1">
        <f t="array" ref="I424">_xlfn.IFS(ChartTable[[#This Row],[Exluido?]]=1,"Excluido",ChartTable[[#This Row],[Novo?]]=1, "Novo", ChartTable[[#This Row],[Mudou?]]=1, "Mudou")</f>
        <v>Novo</v>
      </c>
    </row>
    <row r="425" spans="1:9" x14ac:dyDescent="0.25">
      <c r="A425" t="s">
        <v>434</v>
      </c>
      <c r="B425" s="10">
        <v>11994.079563754722</v>
      </c>
      <c r="C425" s="10"/>
      <c r="D425" s="11">
        <f>IF(AND(ChartTable[[#This Row],[Valor Encerrado]]=0, ChartTable[[#This Row],[Valor Ativo]]=""), 1, 0)</f>
        <v>0</v>
      </c>
      <c r="E425" s="11">
        <f>IF(AND(ChartTable[[#This Row],[Valor Ativo]]&lt;&gt;"", ChartTable[[#This Row],[Valor Encerrado]]=""), 1, 0)</f>
        <v>1</v>
      </c>
      <c r="F425" s="11">
        <f>IF(AND(ChartTable[[#This Row],[Novo?]]=0, ChartTable[[#This Row],[Valor Ativo]]&lt;&gt;ChartTable[[#This Row],[Valor Encerrado]]), 1, 0)</f>
        <v>0</v>
      </c>
      <c r="G425" s="18" t="str">
        <f>IF(ChartTable[[#This Row],[Mudou?]]=1, ChartTable[[#This Row],[Valor Encerrado]]-ChartTable[[#This Row],[Valor Ativo]], "")</f>
        <v/>
      </c>
      <c r="H425" s="11" t="str">
        <f>IF(ChartTable[[#This Row],[Mudou?]]=1, IF(ChartTable[[#This Row],[Diferença]]&gt;0, "aumentou", "diminuiu"), "")</f>
        <v/>
      </c>
      <c r="I425" s="11" t="str" cm="1">
        <f t="array" ref="I425">_xlfn.IFS(ChartTable[[#This Row],[Exluido?]]=1,"Excluido",ChartTable[[#This Row],[Novo?]]=1, "Novo", ChartTable[[#This Row],[Mudou?]]=1, "Mudou")</f>
        <v>Novo</v>
      </c>
    </row>
    <row r="426" spans="1:9" x14ac:dyDescent="0.25">
      <c r="A426" t="s">
        <v>435</v>
      </c>
      <c r="B426" s="10">
        <v>11994.079563754722</v>
      </c>
      <c r="C426" s="10"/>
      <c r="D426" s="11">
        <f>IF(AND(ChartTable[[#This Row],[Valor Encerrado]]=0, ChartTable[[#This Row],[Valor Ativo]]=""), 1, 0)</f>
        <v>0</v>
      </c>
      <c r="E426" s="11">
        <f>IF(AND(ChartTable[[#This Row],[Valor Ativo]]&lt;&gt;"", ChartTable[[#This Row],[Valor Encerrado]]=""), 1, 0)</f>
        <v>1</v>
      </c>
      <c r="F426" s="11">
        <f>IF(AND(ChartTable[[#This Row],[Novo?]]=0, ChartTable[[#This Row],[Valor Ativo]]&lt;&gt;ChartTable[[#This Row],[Valor Encerrado]]), 1, 0)</f>
        <v>0</v>
      </c>
      <c r="G426" s="18" t="str">
        <f>IF(ChartTable[[#This Row],[Mudou?]]=1, ChartTable[[#This Row],[Valor Encerrado]]-ChartTable[[#This Row],[Valor Ativo]], "")</f>
        <v/>
      </c>
      <c r="H426" s="11" t="str">
        <f>IF(ChartTable[[#This Row],[Mudou?]]=1, IF(ChartTable[[#This Row],[Diferença]]&gt;0, "aumentou", "diminuiu"), "")</f>
        <v/>
      </c>
      <c r="I426" s="11" t="str" cm="1">
        <f t="array" ref="I426">_xlfn.IFS(ChartTable[[#This Row],[Exluido?]]=1,"Excluido",ChartTable[[#This Row],[Novo?]]=1, "Novo", ChartTable[[#This Row],[Mudou?]]=1, "Mudou")</f>
        <v>Novo</v>
      </c>
    </row>
    <row r="427" spans="1:9" x14ac:dyDescent="0.25">
      <c r="A427" t="s">
        <v>436</v>
      </c>
      <c r="B427" s="10">
        <v>11994.079563754722</v>
      </c>
      <c r="C427" s="10"/>
      <c r="D427" s="11">
        <f>IF(AND(ChartTable[[#This Row],[Valor Encerrado]]=0, ChartTable[[#This Row],[Valor Ativo]]=""), 1, 0)</f>
        <v>0</v>
      </c>
      <c r="E427" s="11">
        <f>IF(AND(ChartTable[[#This Row],[Valor Ativo]]&lt;&gt;"", ChartTable[[#This Row],[Valor Encerrado]]=""), 1, 0)</f>
        <v>1</v>
      </c>
      <c r="F427" s="11">
        <f>IF(AND(ChartTable[[#This Row],[Novo?]]=0, ChartTable[[#This Row],[Valor Ativo]]&lt;&gt;ChartTable[[#This Row],[Valor Encerrado]]), 1, 0)</f>
        <v>0</v>
      </c>
      <c r="G427" s="18" t="str">
        <f>IF(ChartTable[[#This Row],[Mudou?]]=1, ChartTable[[#This Row],[Valor Encerrado]]-ChartTable[[#This Row],[Valor Ativo]], "")</f>
        <v/>
      </c>
      <c r="H427" s="11" t="str">
        <f>IF(ChartTable[[#This Row],[Mudou?]]=1, IF(ChartTable[[#This Row],[Diferença]]&gt;0, "aumentou", "diminuiu"), "")</f>
        <v/>
      </c>
      <c r="I427" s="11" t="str" cm="1">
        <f t="array" ref="I427">_xlfn.IFS(ChartTable[[#This Row],[Exluido?]]=1,"Excluido",ChartTable[[#This Row],[Novo?]]=1, "Novo", ChartTable[[#This Row],[Mudou?]]=1, "Mudou")</f>
        <v>Novo</v>
      </c>
    </row>
    <row r="428" spans="1:9" x14ac:dyDescent="0.25">
      <c r="A428" t="s">
        <v>437</v>
      </c>
      <c r="B428" s="10">
        <v>11994.079563754722</v>
      </c>
      <c r="C428" s="10"/>
      <c r="D428" s="11">
        <f>IF(AND(ChartTable[[#This Row],[Valor Encerrado]]=0, ChartTable[[#This Row],[Valor Ativo]]=""), 1, 0)</f>
        <v>0</v>
      </c>
      <c r="E428" s="11">
        <f>IF(AND(ChartTable[[#This Row],[Valor Ativo]]&lt;&gt;"", ChartTable[[#This Row],[Valor Encerrado]]=""), 1, 0)</f>
        <v>1</v>
      </c>
      <c r="F428" s="11">
        <f>IF(AND(ChartTable[[#This Row],[Novo?]]=0, ChartTable[[#This Row],[Valor Ativo]]&lt;&gt;ChartTable[[#This Row],[Valor Encerrado]]), 1, 0)</f>
        <v>0</v>
      </c>
      <c r="G428" s="18" t="str">
        <f>IF(ChartTable[[#This Row],[Mudou?]]=1, ChartTable[[#This Row],[Valor Encerrado]]-ChartTable[[#This Row],[Valor Ativo]], "")</f>
        <v/>
      </c>
      <c r="H428" s="11" t="str">
        <f>IF(ChartTable[[#This Row],[Mudou?]]=1, IF(ChartTable[[#This Row],[Diferença]]&gt;0, "aumentou", "diminuiu"), "")</f>
        <v/>
      </c>
      <c r="I428" s="11" t="str" cm="1">
        <f t="array" ref="I428">_xlfn.IFS(ChartTable[[#This Row],[Exluido?]]=1,"Excluido",ChartTable[[#This Row],[Novo?]]=1, "Novo", ChartTable[[#This Row],[Mudou?]]=1, "Mudou")</f>
        <v>Novo</v>
      </c>
    </row>
    <row r="429" spans="1:9" x14ac:dyDescent="0.25">
      <c r="A429" t="s">
        <v>438</v>
      </c>
      <c r="B429" s="10">
        <v>11994.079563754722</v>
      </c>
      <c r="C429" s="10"/>
      <c r="D429" s="11">
        <f>IF(AND(ChartTable[[#This Row],[Valor Encerrado]]=0, ChartTable[[#This Row],[Valor Ativo]]=""), 1, 0)</f>
        <v>0</v>
      </c>
      <c r="E429" s="11">
        <f>IF(AND(ChartTable[[#This Row],[Valor Ativo]]&lt;&gt;"", ChartTable[[#This Row],[Valor Encerrado]]=""), 1, 0)</f>
        <v>1</v>
      </c>
      <c r="F429" s="11">
        <f>IF(AND(ChartTable[[#This Row],[Novo?]]=0, ChartTable[[#This Row],[Valor Ativo]]&lt;&gt;ChartTable[[#This Row],[Valor Encerrado]]), 1, 0)</f>
        <v>0</v>
      </c>
      <c r="G429" s="18" t="str">
        <f>IF(ChartTable[[#This Row],[Mudou?]]=1, ChartTable[[#This Row],[Valor Encerrado]]-ChartTable[[#This Row],[Valor Ativo]], "")</f>
        <v/>
      </c>
      <c r="H429" s="11" t="str">
        <f>IF(ChartTable[[#This Row],[Mudou?]]=1, IF(ChartTable[[#This Row],[Diferença]]&gt;0, "aumentou", "diminuiu"), "")</f>
        <v/>
      </c>
      <c r="I429" s="11" t="str" cm="1">
        <f t="array" ref="I429">_xlfn.IFS(ChartTable[[#This Row],[Exluido?]]=1,"Excluido",ChartTable[[#This Row],[Novo?]]=1, "Novo", ChartTable[[#This Row],[Mudou?]]=1, "Mudou")</f>
        <v>Novo</v>
      </c>
    </row>
    <row r="430" spans="1:9" x14ac:dyDescent="0.25">
      <c r="A430" t="s">
        <v>439</v>
      </c>
      <c r="B430" s="10">
        <v>11994.079563754722</v>
      </c>
      <c r="C430" s="10"/>
      <c r="D430" s="11">
        <f>IF(AND(ChartTable[[#This Row],[Valor Encerrado]]=0, ChartTable[[#This Row],[Valor Ativo]]=""), 1, 0)</f>
        <v>0</v>
      </c>
      <c r="E430" s="11">
        <f>IF(AND(ChartTable[[#This Row],[Valor Ativo]]&lt;&gt;"", ChartTable[[#This Row],[Valor Encerrado]]=""), 1, 0)</f>
        <v>1</v>
      </c>
      <c r="F430" s="11">
        <f>IF(AND(ChartTable[[#This Row],[Novo?]]=0, ChartTable[[#This Row],[Valor Ativo]]&lt;&gt;ChartTable[[#This Row],[Valor Encerrado]]), 1, 0)</f>
        <v>0</v>
      </c>
      <c r="G430" s="18" t="str">
        <f>IF(ChartTable[[#This Row],[Mudou?]]=1, ChartTable[[#This Row],[Valor Encerrado]]-ChartTable[[#This Row],[Valor Ativo]], "")</f>
        <v/>
      </c>
      <c r="H430" s="11" t="str">
        <f>IF(ChartTable[[#This Row],[Mudou?]]=1, IF(ChartTable[[#This Row],[Diferença]]&gt;0, "aumentou", "diminuiu"), "")</f>
        <v/>
      </c>
      <c r="I430" s="11" t="str" cm="1">
        <f t="array" ref="I430">_xlfn.IFS(ChartTable[[#This Row],[Exluido?]]=1,"Excluido",ChartTable[[#This Row],[Novo?]]=1, "Novo", ChartTable[[#This Row],[Mudou?]]=1, "Mudou")</f>
        <v>Novo</v>
      </c>
    </row>
    <row r="431" spans="1:9" x14ac:dyDescent="0.25">
      <c r="A431" t="s">
        <v>440</v>
      </c>
      <c r="B431" s="10">
        <v>11994.079563754722</v>
      </c>
      <c r="C431" s="10"/>
      <c r="D431" s="11">
        <f>IF(AND(ChartTable[[#This Row],[Valor Encerrado]]=0, ChartTable[[#This Row],[Valor Ativo]]=""), 1, 0)</f>
        <v>0</v>
      </c>
      <c r="E431" s="11">
        <f>IF(AND(ChartTable[[#This Row],[Valor Ativo]]&lt;&gt;"", ChartTable[[#This Row],[Valor Encerrado]]=""), 1, 0)</f>
        <v>1</v>
      </c>
      <c r="F431" s="11">
        <f>IF(AND(ChartTable[[#This Row],[Novo?]]=0, ChartTable[[#This Row],[Valor Ativo]]&lt;&gt;ChartTable[[#This Row],[Valor Encerrado]]), 1, 0)</f>
        <v>0</v>
      </c>
      <c r="G431" s="18" t="str">
        <f>IF(ChartTable[[#This Row],[Mudou?]]=1, ChartTable[[#This Row],[Valor Encerrado]]-ChartTable[[#This Row],[Valor Ativo]], "")</f>
        <v/>
      </c>
      <c r="H431" s="11" t="str">
        <f>IF(ChartTable[[#This Row],[Mudou?]]=1, IF(ChartTable[[#This Row],[Diferença]]&gt;0, "aumentou", "diminuiu"), "")</f>
        <v/>
      </c>
      <c r="I431" s="11" t="str" cm="1">
        <f t="array" ref="I431">_xlfn.IFS(ChartTable[[#This Row],[Exluido?]]=1,"Excluido",ChartTable[[#This Row],[Novo?]]=1, "Novo", ChartTable[[#This Row],[Mudou?]]=1, "Mudou")</f>
        <v>Novo</v>
      </c>
    </row>
    <row r="432" spans="1:9" x14ac:dyDescent="0.25">
      <c r="A432" t="s">
        <v>441</v>
      </c>
      <c r="B432" s="10">
        <v>11994.079563754722</v>
      </c>
      <c r="C432" s="10"/>
      <c r="D432" s="11">
        <f>IF(AND(ChartTable[[#This Row],[Valor Encerrado]]=0, ChartTable[[#This Row],[Valor Ativo]]=""), 1, 0)</f>
        <v>0</v>
      </c>
      <c r="E432" s="11">
        <f>IF(AND(ChartTable[[#This Row],[Valor Ativo]]&lt;&gt;"", ChartTable[[#This Row],[Valor Encerrado]]=""), 1, 0)</f>
        <v>1</v>
      </c>
      <c r="F432" s="11">
        <f>IF(AND(ChartTable[[#This Row],[Novo?]]=0, ChartTable[[#This Row],[Valor Ativo]]&lt;&gt;ChartTable[[#This Row],[Valor Encerrado]]), 1, 0)</f>
        <v>0</v>
      </c>
      <c r="G432" s="18" t="str">
        <f>IF(ChartTable[[#This Row],[Mudou?]]=1, ChartTable[[#This Row],[Valor Encerrado]]-ChartTable[[#This Row],[Valor Ativo]], "")</f>
        <v/>
      </c>
      <c r="H432" s="11" t="str">
        <f>IF(ChartTable[[#This Row],[Mudou?]]=1, IF(ChartTable[[#This Row],[Diferença]]&gt;0, "aumentou", "diminuiu"), "")</f>
        <v/>
      </c>
      <c r="I432" s="11" t="str" cm="1">
        <f t="array" ref="I432">_xlfn.IFS(ChartTable[[#This Row],[Exluido?]]=1,"Excluido",ChartTable[[#This Row],[Novo?]]=1, "Novo", ChartTable[[#This Row],[Mudou?]]=1, "Mudou")</f>
        <v>Novo</v>
      </c>
    </row>
    <row r="433" spans="1:9" x14ac:dyDescent="0.25">
      <c r="A433" t="s">
        <v>442</v>
      </c>
      <c r="B433" s="10">
        <v>11994.079563754722</v>
      </c>
      <c r="C433" s="10"/>
      <c r="D433" s="11">
        <f>IF(AND(ChartTable[[#This Row],[Valor Encerrado]]=0, ChartTable[[#This Row],[Valor Ativo]]=""), 1, 0)</f>
        <v>0</v>
      </c>
      <c r="E433" s="11">
        <f>IF(AND(ChartTable[[#This Row],[Valor Ativo]]&lt;&gt;"", ChartTable[[#This Row],[Valor Encerrado]]=""), 1, 0)</f>
        <v>1</v>
      </c>
      <c r="F433" s="11">
        <f>IF(AND(ChartTable[[#This Row],[Novo?]]=0, ChartTable[[#This Row],[Valor Ativo]]&lt;&gt;ChartTable[[#This Row],[Valor Encerrado]]), 1, 0)</f>
        <v>0</v>
      </c>
      <c r="G433" s="18" t="str">
        <f>IF(ChartTable[[#This Row],[Mudou?]]=1, ChartTable[[#This Row],[Valor Encerrado]]-ChartTable[[#This Row],[Valor Ativo]], "")</f>
        <v/>
      </c>
      <c r="H433" s="11" t="str">
        <f>IF(ChartTable[[#This Row],[Mudou?]]=1, IF(ChartTable[[#This Row],[Diferença]]&gt;0, "aumentou", "diminuiu"), "")</f>
        <v/>
      </c>
      <c r="I433" s="11" t="str" cm="1">
        <f t="array" ref="I433">_xlfn.IFS(ChartTable[[#This Row],[Exluido?]]=1,"Excluido",ChartTable[[#This Row],[Novo?]]=1, "Novo", ChartTable[[#This Row],[Mudou?]]=1, "Mudou")</f>
        <v>Novo</v>
      </c>
    </row>
    <row r="434" spans="1:9" x14ac:dyDescent="0.25">
      <c r="A434" t="s">
        <v>443</v>
      </c>
      <c r="B434" s="10">
        <v>11994.079563754722</v>
      </c>
      <c r="C434" s="10"/>
      <c r="D434" s="11">
        <f>IF(AND(ChartTable[[#This Row],[Valor Encerrado]]=0, ChartTable[[#This Row],[Valor Ativo]]=""), 1, 0)</f>
        <v>0</v>
      </c>
      <c r="E434" s="11">
        <f>IF(AND(ChartTable[[#This Row],[Valor Ativo]]&lt;&gt;"", ChartTable[[#This Row],[Valor Encerrado]]=""), 1, 0)</f>
        <v>1</v>
      </c>
      <c r="F434" s="11">
        <f>IF(AND(ChartTable[[#This Row],[Novo?]]=0, ChartTable[[#This Row],[Valor Ativo]]&lt;&gt;ChartTable[[#This Row],[Valor Encerrado]]), 1, 0)</f>
        <v>0</v>
      </c>
      <c r="G434" s="18" t="str">
        <f>IF(ChartTable[[#This Row],[Mudou?]]=1, ChartTable[[#This Row],[Valor Encerrado]]-ChartTable[[#This Row],[Valor Ativo]], "")</f>
        <v/>
      </c>
      <c r="H434" s="11" t="str">
        <f>IF(ChartTable[[#This Row],[Mudou?]]=1, IF(ChartTable[[#This Row],[Diferença]]&gt;0, "aumentou", "diminuiu"), "")</f>
        <v/>
      </c>
      <c r="I434" s="11" t="str" cm="1">
        <f t="array" ref="I434">_xlfn.IFS(ChartTable[[#This Row],[Exluido?]]=1,"Excluido",ChartTable[[#This Row],[Novo?]]=1, "Novo", ChartTable[[#This Row],[Mudou?]]=1, "Mudou")</f>
        <v>Novo</v>
      </c>
    </row>
    <row r="435" spans="1:9" x14ac:dyDescent="0.25">
      <c r="A435" t="s">
        <v>444</v>
      </c>
      <c r="B435" s="10">
        <v>11994.079563754722</v>
      </c>
      <c r="C435" s="10"/>
      <c r="D435" s="11">
        <f>IF(AND(ChartTable[[#This Row],[Valor Encerrado]]=0, ChartTable[[#This Row],[Valor Ativo]]=""), 1, 0)</f>
        <v>0</v>
      </c>
      <c r="E435" s="11">
        <f>IF(AND(ChartTable[[#This Row],[Valor Ativo]]&lt;&gt;"", ChartTable[[#This Row],[Valor Encerrado]]=""), 1, 0)</f>
        <v>1</v>
      </c>
      <c r="F435" s="11">
        <f>IF(AND(ChartTable[[#This Row],[Novo?]]=0, ChartTable[[#This Row],[Valor Ativo]]&lt;&gt;ChartTable[[#This Row],[Valor Encerrado]]), 1, 0)</f>
        <v>0</v>
      </c>
      <c r="G435" s="18" t="str">
        <f>IF(ChartTable[[#This Row],[Mudou?]]=1, ChartTable[[#This Row],[Valor Encerrado]]-ChartTable[[#This Row],[Valor Ativo]], "")</f>
        <v/>
      </c>
      <c r="H435" s="11" t="str">
        <f>IF(ChartTable[[#This Row],[Mudou?]]=1, IF(ChartTable[[#This Row],[Diferença]]&gt;0, "aumentou", "diminuiu"), "")</f>
        <v/>
      </c>
      <c r="I435" s="11" t="str" cm="1">
        <f t="array" ref="I435">_xlfn.IFS(ChartTable[[#This Row],[Exluido?]]=1,"Excluido",ChartTable[[#This Row],[Novo?]]=1, "Novo", ChartTable[[#This Row],[Mudou?]]=1, "Mudou")</f>
        <v>Novo</v>
      </c>
    </row>
    <row r="436" spans="1:9" x14ac:dyDescent="0.25">
      <c r="A436" t="s">
        <v>445</v>
      </c>
      <c r="B436" s="10">
        <v>11994.079563754722</v>
      </c>
      <c r="C436" s="10"/>
      <c r="D436" s="11">
        <f>IF(AND(ChartTable[[#This Row],[Valor Encerrado]]=0, ChartTable[[#This Row],[Valor Ativo]]=""), 1, 0)</f>
        <v>0</v>
      </c>
      <c r="E436" s="11">
        <f>IF(AND(ChartTable[[#This Row],[Valor Ativo]]&lt;&gt;"", ChartTable[[#This Row],[Valor Encerrado]]=""), 1, 0)</f>
        <v>1</v>
      </c>
      <c r="F436" s="11">
        <f>IF(AND(ChartTable[[#This Row],[Novo?]]=0, ChartTable[[#This Row],[Valor Ativo]]&lt;&gt;ChartTable[[#This Row],[Valor Encerrado]]), 1, 0)</f>
        <v>0</v>
      </c>
      <c r="G436" s="18" t="str">
        <f>IF(ChartTable[[#This Row],[Mudou?]]=1, ChartTable[[#This Row],[Valor Encerrado]]-ChartTable[[#This Row],[Valor Ativo]], "")</f>
        <v/>
      </c>
      <c r="H436" s="11" t="str">
        <f>IF(ChartTable[[#This Row],[Mudou?]]=1, IF(ChartTable[[#This Row],[Diferença]]&gt;0, "aumentou", "diminuiu"), "")</f>
        <v/>
      </c>
      <c r="I436" s="11" t="str" cm="1">
        <f t="array" ref="I436">_xlfn.IFS(ChartTable[[#This Row],[Exluido?]]=1,"Excluido",ChartTable[[#This Row],[Novo?]]=1, "Novo", ChartTable[[#This Row],[Mudou?]]=1, "Mudou")</f>
        <v>Novo</v>
      </c>
    </row>
    <row r="437" spans="1:9" x14ac:dyDescent="0.25">
      <c r="A437" t="s">
        <v>446</v>
      </c>
      <c r="B437" s="10">
        <v>11994.079563754722</v>
      </c>
      <c r="C437" s="10"/>
      <c r="D437" s="11">
        <f>IF(AND(ChartTable[[#This Row],[Valor Encerrado]]=0, ChartTable[[#This Row],[Valor Ativo]]=""), 1, 0)</f>
        <v>0</v>
      </c>
      <c r="E437" s="11">
        <f>IF(AND(ChartTable[[#This Row],[Valor Ativo]]&lt;&gt;"", ChartTable[[#This Row],[Valor Encerrado]]=""), 1, 0)</f>
        <v>1</v>
      </c>
      <c r="F437" s="11">
        <f>IF(AND(ChartTable[[#This Row],[Novo?]]=0, ChartTable[[#This Row],[Valor Ativo]]&lt;&gt;ChartTable[[#This Row],[Valor Encerrado]]), 1, 0)</f>
        <v>0</v>
      </c>
      <c r="G437" s="18" t="str">
        <f>IF(ChartTable[[#This Row],[Mudou?]]=1, ChartTable[[#This Row],[Valor Encerrado]]-ChartTable[[#This Row],[Valor Ativo]], "")</f>
        <v/>
      </c>
      <c r="H437" s="11" t="str">
        <f>IF(ChartTable[[#This Row],[Mudou?]]=1, IF(ChartTable[[#This Row],[Diferença]]&gt;0, "aumentou", "diminuiu"), "")</f>
        <v/>
      </c>
      <c r="I437" s="11" t="str" cm="1">
        <f t="array" ref="I437">_xlfn.IFS(ChartTable[[#This Row],[Exluido?]]=1,"Excluido",ChartTable[[#This Row],[Novo?]]=1, "Novo", ChartTable[[#This Row],[Mudou?]]=1, "Mudou")</f>
        <v>Novo</v>
      </c>
    </row>
    <row r="438" spans="1:9" x14ac:dyDescent="0.25">
      <c r="A438" t="s">
        <v>447</v>
      </c>
      <c r="B438" s="10">
        <v>11994.079563754722</v>
      </c>
      <c r="C438" s="10"/>
      <c r="D438" s="11">
        <f>IF(AND(ChartTable[[#This Row],[Valor Encerrado]]=0, ChartTable[[#This Row],[Valor Ativo]]=""), 1, 0)</f>
        <v>0</v>
      </c>
      <c r="E438" s="11">
        <f>IF(AND(ChartTable[[#This Row],[Valor Ativo]]&lt;&gt;"", ChartTable[[#This Row],[Valor Encerrado]]=""), 1, 0)</f>
        <v>1</v>
      </c>
      <c r="F438" s="11">
        <f>IF(AND(ChartTable[[#This Row],[Novo?]]=0, ChartTable[[#This Row],[Valor Ativo]]&lt;&gt;ChartTable[[#This Row],[Valor Encerrado]]), 1, 0)</f>
        <v>0</v>
      </c>
      <c r="G438" s="18" t="str">
        <f>IF(ChartTable[[#This Row],[Mudou?]]=1, ChartTable[[#This Row],[Valor Encerrado]]-ChartTable[[#This Row],[Valor Ativo]], "")</f>
        <v/>
      </c>
      <c r="H438" s="11" t="str">
        <f>IF(ChartTable[[#This Row],[Mudou?]]=1, IF(ChartTable[[#This Row],[Diferença]]&gt;0, "aumentou", "diminuiu"), "")</f>
        <v/>
      </c>
      <c r="I438" s="11" t="str" cm="1">
        <f t="array" ref="I438">_xlfn.IFS(ChartTable[[#This Row],[Exluido?]]=1,"Excluido",ChartTable[[#This Row],[Novo?]]=1, "Novo", ChartTable[[#This Row],[Mudou?]]=1, "Mudou")</f>
        <v>Novo</v>
      </c>
    </row>
    <row r="439" spans="1:9" x14ac:dyDescent="0.25">
      <c r="A439" t="s">
        <v>448</v>
      </c>
      <c r="B439" s="10">
        <v>11994.079563754722</v>
      </c>
      <c r="C439" s="10"/>
      <c r="D439" s="11">
        <f>IF(AND(ChartTable[[#This Row],[Valor Encerrado]]=0, ChartTable[[#This Row],[Valor Ativo]]=""), 1, 0)</f>
        <v>0</v>
      </c>
      <c r="E439" s="11">
        <f>IF(AND(ChartTable[[#This Row],[Valor Ativo]]&lt;&gt;"", ChartTable[[#This Row],[Valor Encerrado]]=""), 1, 0)</f>
        <v>1</v>
      </c>
      <c r="F439" s="11">
        <f>IF(AND(ChartTable[[#This Row],[Novo?]]=0, ChartTable[[#This Row],[Valor Ativo]]&lt;&gt;ChartTable[[#This Row],[Valor Encerrado]]), 1, 0)</f>
        <v>0</v>
      </c>
      <c r="G439" s="18" t="str">
        <f>IF(ChartTable[[#This Row],[Mudou?]]=1, ChartTable[[#This Row],[Valor Encerrado]]-ChartTable[[#This Row],[Valor Ativo]], "")</f>
        <v/>
      </c>
      <c r="H439" s="11" t="str">
        <f>IF(ChartTable[[#This Row],[Mudou?]]=1, IF(ChartTable[[#This Row],[Diferença]]&gt;0, "aumentou", "diminuiu"), "")</f>
        <v/>
      </c>
      <c r="I439" s="11" t="str" cm="1">
        <f t="array" ref="I439">_xlfn.IFS(ChartTable[[#This Row],[Exluido?]]=1,"Excluido",ChartTable[[#This Row],[Novo?]]=1, "Novo", ChartTable[[#This Row],[Mudou?]]=1, "Mudou")</f>
        <v>Novo</v>
      </c>
    </row>
    <row r="440" spans="1:9" x14ac:dyDescent="0.25">
      <c r="A440" t="s">
        <v>449</v>
      </c>
      <c r="B440" s="10">
        <v>11994.079563754722</v>
      </c>
      <c r="C440" s="10"/>
      <c r="D440" s="11">
        <f>IF(AND(ChartTable[[#This Row],[Valor Encerrado]]=0, ChartTable[[#This Row],[Valor Ativo]]=""), 1, 0)</f>
        <v>0</v>
      </c>
      <c r="E440" s="11">
        <f>IF(AND(ChartTable[[#This Row],[Valor Ativo]]&lt;&gt;"", ChartTable[[#This Row],[Valor Encerrado]]=""), 1, 0)</f>
        <v>1</v>
      </c>
      <c r="F440" s="11">
        <f>IF(AND(ChartTable[[#This Row],[Novo?]]=0, ChartTable[[#This Row],[Valor Ativo]]&lt;&gt;ChartTable[[#This Row],[Valor Encerrado]]), 1, 0)</f>
        <v>0</v>
      </c>
      <c r="G440" s="18" t="str">
        <f>IF(ChartTable[[#This Row],[Mudou?]]=1, ChartTable[[#This Row],[Valor Encerrado]]-ChartTable[[#This Row],[Valor Ativo]], "")</f>
        <v/>
      </c>
      <c r="H440" s="11" t="str">
        <f>IF(ChartTable[[#This Row],[Mudou?]]=1, IF(ChartTable[[#This Row],[Diferença]]&gt;0, "aumentou", "diminuiu"), "")</f>
        <v/>
      </c>
      <c r="I440" s="11" t="str" cm="1">
        <f t="array" ref="I440">_xlfn.IFS(ChartTable[[#This Row],[Exluido?]]=1,"Excluido",ChartTable[[#This Row],[Novo?]]=1, "Novo", ChartTable[[#This Row],[Mudou?]]=1, "Mudou")</f>
        <v>Novo</v>
      </c>
    </row>
    <row r="441" spans="1:9" x14ac:dyDescent="0.25">
      <c r="A441" t="s">
        <v>450</v>
      </c>
      <c r="B441" s="10">
        <v>11994.079563754722</v>
      </c>
      <c r="C441" s="10"/>
      <c r="D441" s="11">
        <f>IF(AND(ChartTable[[#This Row],[Valor Encerrado]]=0, ChartTable[[#This Row],[Valor Ativo]]=""), 1, 0)</f>
        <v>0</v>
      </c>
      <c r="E441" s="11">
        <f>IF(AND(ChartTable[[#This Row],[Valor Ativo]]&lt;&gt;"", ChartTable[[#This Row],[Valor Encerrado]]=""), 1, 0)</f>
        <v>1</v>
      </c>
      <c r="F441" s="11">
        <f>IF(AND(ChartTable[[#This Row],[Novo?]]=0, ChartTable[[#This Row],[Valor Ativo]]&lt;&gt;ChartTable[[#This Row],[Valor Encerrado]]), 1, 0)</f>
        <v>0</v>
      </c>
      <c r="G441" s="18" t="str">
        <f>IF(ChartTable[[#This Row],[Mudou?]]=1, ChartTable[[#This Row],[Valor Encerrado]]-ChartTable[[#This Row],[Valor Ativo]], "")</f>
        <v/>
      </c>
      <c r="H441" s="11" t="str">
        <f>IF(ChartTable[[#This Row],[Mudou?]]=1, IF(ChartTable[[#This Row],[Diferença]]&gt;0, "aumentou", "diminuiu"), "")</f>
        <v/>
      </c>
      <c r="I441" s="11" t="str" cm="1">
        <f t="array" ref="I441">_xlfn.IFS(ChartTable[[#This Row],[Exluido?]]=1,"Excluido",ChartTable[[#This Row],[Novo?]]=1, "Novo", ChartTable[[#This Row],[Mudou?]]=1, "Mudou")</f>
        <v>Novo</v>
      </c>
    </row>
    <row r="442" spans="1:9" x14ac:dyDescent="0.25">
      <c r="A442" t="s">
        <v>451</v>
      </c>
      <c r="B442" s="10">
        <v>11994.079563754722</v>
      </c>
      <c r="C442" s="10"/>
      <c r="D442" s="11">
        <f>IF(AND(ChartTable[[#This Row],[Valor Encerrado]]=0, ChartTable[[#This Row],[Valor Ativo]]=""), 1, 0)</f>
        <v>0</v>
      </c>
      <c r="E442" s="11">
        <f>IF(AND(ChartTable[[#This Row],[Valor Ativo]]&lt;&gt;"", ChartTable[[#This Row],[Valor Encerrado]]=""), 1, 0)</f>
        <v>1</v>
      </c>
      <c r="F442" s="11">
        <f>IF(AND(ChartTable[[#This Row],[Novo?]]=0, ChartTable[[#This Row],[Valor Ativo]]&lt;&gt;ChartTable[[#This Row],[Valor Encerrado]]), 1, 0)</f>
        <v>0</v>
      </c>
      <c r="G442" s="18" t="str">
        <f>IF(ChartTable[[#This Row],[Mudou?]]=1, ChartTable[[#This Row],[Valor Encerrado]]-ChartTable[[#This Row],[Valor Ativo]], "")</f>
        <v/>
      </c>
      <c r="H442" s="11" t="str">
        <f>IF(ChartTable[[#This Row],[Mudou?]]=1, IF(ChartTable[[#This Row],[Diferença]]&gt;0, "aumentou", "diminuiu"), "")</f>
        <v/>
      </c>
      <c r="I442" s="11" t="str" cm="1">
        <f t="array" ref="I442">_xlfn.IFS(ChartTable[[#This Row],[Exluido?]]=1,"Excluido",ChartTable[[#This Row],[Novo?]]=1, "Novo", ChartTable[[#This Row],[Mudou?]]=1, "Mudou")</f>
        <v>Novo</v>
      </c>
    </row>
    <row r="443" spans="1:9" x14ac:dyDescent="0.25">
      <c r="A443" t="s">
        <v>452</v>
      </c>
      <c r="B443" s="10">
        <v>11994.079563754722</v>
      </c>
      <c r="C443" s="10"/>
      <c r="D443" s="11">
        <f>IF(AND(ChartTable[[#This Row],[Valor Encerrado]]=0, ChartTable[[#This Row],[Valor Ativo]]=""), 1, 0)</f>
        <v>0</v>
      </c>
      <c r="E443" s="11">
        <f>IF(AND(ChartTable[[#This Row],[Valor Ativo]]&lt;&gt;"", ChartTable[[#This Row],[Valor Encerrado]]=""), 1, 0)</f>
        <v>1</v>
      </c>
      <c r="F443" s="11">
        <f>IF(AND(ChartTable[[#This Row],[Novo?]]=0, ChartTable[[#This Row],[Valor Ativo]]&lt;&gt;ChartTable[[#This Row],[Valor Encerrado]]), 1, 0)</f>
        <v>0</v>
      </c>
      <c r="G443" s="18" t="str">
        <f>IF(ChartTable[[#This Row],[Mudou?]]=1, ChartTable[[#This Row],[Valor Encerrado]]-ChartTable[[#This Row],[Valor Ativo]], "")</f>
        <v/>
      </c>
      <c r="H443" s="11" t="str">
        <f>IF(ChartTable[[#This Row],[Mudou?]]=1, IF(ChartTable[[#This Row],[Diferença]]&gt;0, "aumentou", "diminuiu"), "")</f>
        <v/>
      </c>
      <c r="I443" s="11" t="str" cm="1">
        <f t="array" ref="I443">_xlfn.IFS(ChartTable[[#This Row],[Exluido?]]=1,"Excluido",ChartTable[[#This Row],[Novo?]]=1, "Novo", ChartTable[[#This Row],[Mudou?]]=1, "Mudou")</f>
        <v>Novo</v>
      </c>
    </row>
    <row r="444" spans="1:9" x14ac:dyDescent="0.25">
      <c r="A444" t="s">
        <v>453</v>
      </c>
      <c r="B444" s="10">
        <v>11994.079563754722</v>
      </c>
      <c r="C444" s="10"/>
      <c r="D444" s="11">
        <f>IF(AND(ChartTable[[#This Row],[Valor Encerrado]]=0, ChartTable[[#This Row],[Valor Ativo]]=""), 1, 0)</f>
        <v>0</v>
      </c>
      <c r="E444" s="11">
        <f>IF(AND(ChartTable[[#This Row],[Valor Ativo]]&lt;&gt;"", ChartTable[[#This Row],[Valor Encerrado]]=""), 1, 0)</f>
        <v>1</v>
      </c>
      <c r="F444" s="11">
        <f>IF(AND(ChartTable[[#This Row],[Novo?]]=0, ChartTable[[#This Row],[Valor Ativo]]&lt;&gt;ChartTable[[#This Row],[Valor Encerrado]]), 1, 0)</f>
        <v>0</v>
      </c>
      <c r="G444" s="18" t="str">
        <f>IF(ChartTable[[#This Row],[Mudou?]]=1, ChartTable[[#This Row],[Valor Encerrado]]-ChartTable[[#This Row],[Valor Ativo]], "")</f>
        <v/>
      </c>
      <c r="H444" s="11" t="str">
        <f>IF(ChartTable[[#This Row],[Mudou?]]=1, IF(ChartTable[[#This Row],[Diferença]]&gt;0, "aumentou", "diminuiu"), "")</f>
        <v/>
      </c>
      <c r="I444" s="11" t="str" cm="1">
        <f t="array" ref="I444">_xlfn.IFS(ChartTable[[#This Row],[Exluido?]]=1,"Excluido",ChartTable[[#This Row],[Novo?]]=1, "Novo", ChartTable[[#This Row],[Mudou?]]=1, "Mudou")</f>
        <v>Novo</v>
      </c>
    </row>
    <row r="445" spans="1:9" x14ac:dyDescent="0.25">
      <c r="A445" t="s">
        <v>454</v>
      </c>
      <c r="B445" s="10">
        <v>11994.079563754722</v>
      </c>
      <c r="C445" s="10"/>
      <c r="D445" s="11">
        <f>IF(AND(ChartTable[[#This Row],[Valor Encerrado]]=0, ChartTable[[#This Row],[Valor Ativo]]=""), 1, 0)</f>
        <v>0</v>
      </c>
      <c r="E445" s="11">
        <f>IF(AND(ChartTable[[#This Row],[Valor Ativo]]&lt;&gt;"", ChartTable[[#This Row],[Valor Encerrado]]=""), 1, 0)</f>
        <v>1</v>
      </c>
      <c r="F445" s="11">
        <f>IF(AND(ChartTable[[#This Row],[Novo?]]=0, ChartTable[[#This Row],[Valor Ativo]]&lt;&gt;ChartTable[[#This Row],[Valor Encerrado]]), 1, 0)</f>
        <v>0</v>
      </c>
      <c r="G445" s="18" t="str">
        <f>IF(ChartTable[[#This Row],[Mudou?]]=1, ChartTable[[#This Row],[Valor Encerrado]]-ChartTable[[#This Row],[Valor Ativo]], "")</f>
        <v/>
      </c>
      <c r="H445" s="11" t="str">
        <f>IF(ChartTable[[#This Row],[Mudou?]]=1, IF(ChartTable[[#This Row],[Diferença]]&gt;0, "aumentou", "diminuiu"), "")</f>
        <v/>
      </c>
      <c r="I445" s="11" t="str" cm="1">
        <f t="array" ref="I445">_xlfn.IFS(ChartTable[[#This Row],[Exluido?]]=1,"Excluido",ChartTable[[#This Row],[Novo?]]=1, "Novo", ChartTable[[#This Row],[Mudou?]]=1, "Mudou")</f>
        <v>Novo</v>
      </c>
    </row>
    <row r="446" spans="1:9" x14ac:dyDescent="0.25">
      <c r="A446" t="s">
        <v>455</v>
      </c>
      <c r="B446" s="10">
        <v>11994.079563754722</v>
      </c>
      <c r="C446" s="10"/>
      <c r="D446" s="11">
        <f>IF(AND(ChartTable[[#This Row],[Valor Encerrado]]=0, ChartTable[[#This Row],[Valor Ativo]]=""), 1, 0)</f>
        <v>0</v>
      </c>
      <c r="E446" s="11">
        <f>IF(AND(ChartTable[[#This Row],[Valor Ativo]]&lt;&gt;"", ChartTable[[#This Row],[Valor Encerrado]]=""), 1, 0)</f>
        <v>1</v>
      </c>
      <c r="F446" s="11">
        <f>IF(AND(ChartTable[[#This Row],[Novo?]]=0, ChartTable[[#This Row],[Valor Ativo]]&lt;&gt;ChartTable[[#This Row],[Valor Encerrado]]), 1, 0)</f>
        <v>0</v>
      </c>
      <c r="G446" s="18" t="str">
        <f>IF(ChartTable[[#This Row],[Mudou?]]=1, ChartTable[[#This Row],[Valor Encerrado]]-ChartTable[[#This Row],[Valor Ativo]], "")</f>
        <v/>
      </c>
      <c r="H446" s="11" t="str">
        <f>IF(ChartTable[[#This Row],[Mudou?]]=1, IF(ChartTable[[#This Row],[Diferença]]&gt;0, "aumentou", "diminuiu"), "")</f>
        <v/>
      </c>
      <c r="I446" s="11" t="str" cm="1">
        <f t="array" ref="I446">_xlfn.IFS(ChartTable[[#This Row],[Exluido?]]=1,"Excluido",ChartTable[[#This Row],[Novo?]]=1, "Novo", ChartTable[[#This Row],[Mudou?]]=1, "Mudou")</f>
        <v>Novo</v>
      </c>
    </row>
    <row r="447" spans="1:9" x14ac:dyDescent="0.25">
      <c r="A447" t="s">
        <v>456</v>
      </c>
      <c r="B447" s="10">
        <v>11994.079563754722</v>
      </c>
      <c r="C447" s="10"/>
      <c r="D447" s="11">
        <f>IF(AND(ChartTable[[#This Row],[Valor Encerrado]]=0, ChartTable[[#This Row],[Valor Ativo]]=""), 1, 0)</f>
        <v>0</v>
      </c>
      <c r="E447" s="11">
        <f>IF(AND(ChartTable[[#This Row],[Valor Ativo]]&lt;&gt;"", ChartTable[[#This Row],[Valor Encerrado]]=""), 1, 0)</f>
        <v>1</v>
      </c>
      <c r="F447" s="11">
        <f>IF(AND(ChartTable[[#This Row],[Novo?]]=0, ChartTable[[#This Row],[Valor Ativo]]&lt;&gt;ChartTable[[#This Row],[Valor Encerrado]]), 1, 0)</f>
        <v>0</v>
      </c>
      <c r="G447" s="18" t="str">
        <f>IF(ChartTable[[#This Row],[Mudou?]]=1, ChartTable[[#This Row],[Valor Encerrado]]-ChartTable[[#This Row],[Valor Ativo]], "")</f>
        <v/>
      </c>
      <c r="H447" s="11" t="str">
        <f>IF(ChartTable[[#This Row],[Mudou?]]=1, IF(ChartTable[[#This Row],[Diferença]]&gt;0, "aumentou", "diminuiu"), "")</f>
        <v/>
      </c>
      <c r="I447" s="11" t="str" cm="1">
        <f t="array" ref="I447">_xlfn.IFS(ChartTable[[#This Row],[Exluido?]]=1,"Excluido",ChartTable[[#This Row],[Novo?]]=1, "Novo", ChartTable[[#This Row],[Mudou?]]=1, "Mudou")</f>
        <v>Novo</v>
      </c>
    </row>
    <row r="448" spans="1:9" x14ac:dyDescent="0.25">
      <c r="A448" t="s">
        <v>457</v>
      </c>
      <c r="B448" s="10">
        <v>11994.079563754722</v>
      </c>
      <c r="C448" s="10"/>
      <c r="D448" s="11">
        <f>IF(AND(ChartTable[[#This Row],[Valor Encerrado]]=0, ChartTable[[#This Row],[Valor Ativo]]=""), 1, 0)</f>
        <v>0</v>
      </c>
      <c r="E448" s="11">
        <f>IF(AND(ChartTable[[#This Row],[Valor Ativo]]&lt;&gt;"", ChartTable[[#This Row],[Valor Encerrado]]=""), 1, 0)</f>
        <v>1</v>
      </c>
      <c r="F448" s="11">
        <f>IF(AND(ChartTable[[#This Row],[Novo?]]=0, ChartTable[[#This Row],[Valor Ativo]]&lt;&gt;ChartTable[[#This Row],[Valor Encerrado]]), 1, 0)</f>
        <v>0</v>
      </c>
      <c r="G448" s="18" t="str">
        <f>IF(ChartTable[[#This Row],[Mudou?]]=1, ChartTable[[#This Row],[Valor Encerrado]]-ChartTable[[#This Row],[Valor Ativo]], "")</f>
        <v/>
      </c>
      <c r="H448" s="11" t="str">
        <f>IF(ChartTable[[#This Row],[Mudou?]]=1, IF(ChartTable[[#This Row],[Diferença]]&gt;0, "aumentou", "diminuiu"), "")</f>
        <v/>
      </c>
      <c r="I448" s="11" t="str" cm="1">
        <f t="array" ref="I448">_xlfn.IFS(ChartTable[[#This Row],[Exluido?]]=1,"Excluido",ChartTable[[#This Row],[Novo?]]=1, "Novo", ChartTable[[#This Row],[Mudou?]]=1, "Mudou")</f>
        <v>Novo</v>
      </c>
    </row>
    <row r="449" spans="1:9" x14ac:dyDescent="0.25">
      <c r="A449" t="s">
        <v>458</v>
      </c>
      <c r="B449" s="10">
        <v>11994.079563754722</v>
      </c>
      <c r="C449" s="10"/>
      <c r="D449" s="11">
        <f>IF(AND(ChartTable[[#This Row],[Valor Encerrado]]=0, ChartTable[[#This Row],[Valor Ativo]]=""), 1, 0)</f>
        <v>0</v>
      </c>
      <c r="E449" s="11">
        <f>IF(AND(ChartTable[[#This Row],[Valor Ativo]]&lt;&gt;"", ChartTable[[#This Row],[Valor Encerrado]]=""), 1, 0)</f>
        <v>1</v>
      </c>
      <c r="F449" s="11">
        <f>IF(AND(ChartTable[[#This Row],[Novo?]]=0, ChartTable[[#This Row],[Valor Ativo]]&lt;&gt;ChartTable[[#This Row],[Valor Encerrado]]), 1, 0)</f>
        <v>0</v>
      </c>
      <c r="G449" s="18" t="str">
        <f>IF(ChartTable[[#This Row],[Mudou?]]=1, ChartTable[[#This Row],[Valor Encerrado]]-ChartTable[[#This Row],[Valor Ativo]], "")</f>
        <v/>
      </c>
      <c r="H449" s="11" t="str">
        <f>IF(ChartTable[[#This Row],[Mudou?]]=1, IF(ChartTable[[#This Row],[Diferença]]&gt;0, "aumentou", "diminuiu"), "")</f>
        <v/>
      </c>
      <c r="I449" s="11" t="str" cm="1">
        <f t="array" ref="I449">_xlfn.IFS(ChartTable[[#This Row],[Exluido?]]=1,"Excluido",ChartTable[[#This Row],[Novo?]]=1, "Novo", ChartTable[[#This Row],[Mudou?]]=1, "Mudou")</f>
        <v>Novo</v>
      </c>
    </row>
    <row r="450" spans="1:9" x14ac:dyDescent="0.25">
      <c r="A450" t="s">
        <v>459</v>
      </c>
      <c r="B450" s="10">
        <v>11994.079563754722</v>
      </c>
      <c r="C450" s="10"/>
      <c r="D450" s="11">
        <f>IF(AND(ChartTable[[#This Row],[Valor Encerrado]]=0, ChartTable[[#This Row],[Valor Ativo]]=""), 1, 0)</f>
        <v>0</v>
      </c>
      <c r="E450" s="11">
        <f>IF(AND(ChartTable[[#This Row],[Valor Ativo]]&lt;&gt;"", ChartTable[[#This Row],[Valor Encerrado]]=""), 1, 0)</f>
        <v>1</v>
      </c>
      <c r="F450" s="11">
        <f>IF(AND(ChartTable[[#This Row],[Novo?]]=0, ChartTable[[#This Row],[Valor Ativo]]&lt;&gt;ChartTable[[#This Row],[Valor Encerrado]]), 1, 0)</f>
        <v>0</v>
      </c>
      <c r="G450" s="18" t="str">
        <f>IF(ChartTable[[#This Row],[Mudou?]]=1, ChartTable[[#This Row],[Valor Encerrado]]-ChartTable[[#This Row],[Valor Ativo]], "")</f>
        <v/>
      </c>
      <c r="H450" s="11" t="str">
        <f>IF(ChartTable[[#This Row],[Mudou?]]=1, IF(ChartTable[[#This Row],[Diferença]]&gt;0, "aumentou", "diminuiu"), "")</f>
        <v/>
      </c>
      <c r="I450" s="11" t="str" cm="1">
        <f t="array" ref="I450">_xlfn.IFS(ChartTable[[#This Row],[Exluido?]]=1,"Excluido",ChartTable[[#This Row],[Novo?]]=1, "Novo", ChartTable[[#This Row],[Mudou?]]=1, "Mudou")</f>
        <v>Novo</v>
      </c>
    </row>
    <row r="451" spans="1:9" x14ac:dyDescent="0.25">
      <c r="A451" t="s">
        <v>460</v>
      </c>
      <c r="B451" s="10">
        <v>11994.079563754722</v>
      </c>
      <c r="C451" s="10"/>
      <c r="D451" s="11">
        <f>IF(AND(ChartTable[[#This Row],[Valor Encerrado]]=0, ChartTable[[#This Row],[Valor Ativo]]=""), 1, 0)</f>
        <v>0</v>
      </c>
      <c r="E451" s="11">
        <f>IF(AND(ChartTable[[#This Row],[Valor Ativo]]&lt;&gt;"", ChartTable[[#This Row],[Valor Encerrado]]=""), 1, 0)</f>
        <v>1</v>
      </c>
      <c r="F451" s="11">
        <f>IF(AND(ChartTable[[#This Row],[Novo?]]=0, ChartTable[[#This Row],[Valor Ativo]]&lt;&gt;ChartTable[[#This Row],[Valor Encerrado]]), 1, 0)</f>
        <v>0</v>
      </c>
      <c r="G451" s="18" t="str">
        <f>IF(ChartTable[[#This Row],[Mudou?]]=1, ChartTable[[#This Row],[Valor Encerrado]]-ChartTable[[#This Row],[Valor Ativo]], "")</f>
        <v/>
      </c>
      <c r="H451" s="11" t="str">
        <f>IF(ChartTable[[#This Row],[Mudou?]]=1, IF(ChartTable[[#This Row],[Diferença]]&gt;0, "aumentou", "diminuiu"), "")</f>
        <v/>
      </c>
      <c r="I451" s="11" t="str" cm="1">
        <f t="array" ref="I451">_xlfn.IFS(ChartTable[[#This Row],[Exluido?]]=1,"Excluido",ChartTable[[#This Row],[Novo?]]=1, "Novo", ChartTable[[#This Row],[Mudou?]]=1, "Mudou")</f>
        <v>Novo</v>
      </c>
    </row>
    <row r="452" spans="1:9" x14ac:dyDescent="0.25">
      <c r="A452" t="s">
        <v>461</v>
      </c>
      <c r="B452" s="10">
        <v>11994.079563754722</v>
      </c>
      <c r="C452" s="10"/>
      <c r="D452" s="11">
        <f>IF(AND(ChartTable[[#This Row],[Valor Encerrado]]=0, ChartTable[[#This Row],[Valor Ativo]]=""), 1, 0)</f>
        <v>0</v>
      </c>
      <c r="E452" s="11">
        <f>IF(AND(ChartTable[[#This Row],[Valor Ativo]]&lt;&gt;"", ChartTable[[#This Row],[Valor Encerrado]]=""), 1, 0)</f>
        <v>1</v>
      </c>
      <c r="F452" s="11">
        <f>IF(AND(ChartTable[[#This Row],[Novo?]]=0, ChartTable[[#This Row],[Valor Ativo]]&lt;&gt;ChartTable[[#This Row],[Valor Encerrado]]), 1, 0)</f>
        <v>0</v>
      </c>
      <c r="G452" s="18" t="str">
        <f>IF(ChartTable[[#This Row],[Mudou?]]=1, ChartTable[[#This Row],[Valor Encerrado]]-ChartTable[[#This Row],[Valor Ativo]], "")</f>
        <v/>
      </c>
      <c r="H452" s="11" t="str">
        <f>IF(ChartTable[[#This Row],[Mudou?]]=1, IF(ChartTable[[#This Row],[Diferença]]&gt;0, "aumentou", "diminuiu"), "")</f>
        <v/>
      </c>
      <c r="I452" s="11" t="str" cm="1">
        <f t="array" ref="I452">_xlfn.IFS(ChartTable[[#This Row],[Exluido?]]=1,"Excluido",ChartTable[[#This Row],[Novo?]]=1, "Novo", ChartTable[[#This Row],[Mudou?]]=1, "Mudou")</f>
        <v>Novo</v>
      </c>
    </row>
    <row r="453" spans="1:9" x14ac:dyDescent="0.25">
      <c r="A453" t="s">
        <v>462</v>
      </c>
      <c r="B453" s="10">
        <v>11994.079563754722</v>
      </c>
      <c r="C453" s="10"/>
      <c r="D453" s="11">
        <f>IF(AND(ChartTable[[#This Row],[Valor Encerrado]]=0, ChartTable[[#This Row],[Valor Ativo]]=""), 1, 0)</f>
        <v>0</v>
      </c>
      <c r="E453" s="11">
        <f>IF(AND(ChartTable[[#This Row],[Valor Ativo]]&lt;&gt;"", ChartTable[[#This Row],[Valor Encerrado]]=""), 1, 0)</f>
        <v>1</v>
      </c>
      <c r="F453" s="11">
        <f>IF(AND(ChartTable[[#This Row],[Novo?]]=0, ChartTable[[#This Row],[Valor Ativo]]&lt;&gt;ChartTable[[#This Row],[Valor Encerrado]]), 1, 0)</f>
        <v>0</v>
      </c>
      <c r="G453" s="18" t="str">
        <f>IF(ChartTable[[#This Row],[Mudou?]]=1, ChartTable[[#This Row],[Valor Encerrado]]-ChartTable[[#This Row],[Valor Ativo]], "")</f>
        <v/>
      </c>
      <c r="H453" s="11" t="str">
        <f>IF(ChartTable[[#This Row],[Mudou?]]=1, IF(ChartTable[[#This Row],[Diferença]]&gt;0, "aumentou", "diminuiu"), "")</f>
        <v/>
      </c>
      <c r="I453" s="11" t="str" cm="1">
        <f t="array" ref="I453">_xlfn.IFS(ChartTable[[#This Row],[Exluido?]]=1,"Excluido",ChartTable[[#This Row],[Novo?]]=1, "Novo", ChartTable[[#This Row],[Mudou?]]=1, "Mudou")</f>
        <v>Novo</v>
      </c>
    </row>
    <row r="454" spans="1:9" x14ac:dyDescent="0.25">
      <c r="A454" t="s">
        <v>463</v>
      </c>
      <c r="B454" s="10">
        <v>11994.079563754722</v>
      </c>
      <c r="C454" s="10"/>
      <c r="D454" s="11">
        <f>IF(AND(ChartTable[[#This Row],[Valor Encerrado]]=0, ChartTable[[#This Row],[Valor Ativo]]=""), 1, 0)</f>
        <v>0</v>
      </c>
      <c r="E454" s="11">
        <f>IF(AND(ChartTable[[#This Row],[Valor Ativo]]&lt;&gt;"", ChartTable[[#This Row],[Valor Encerrado]]=""), 1, 0)</f>
        <v>1</v>
      </c>
      <c r="F454" s="11">
        <f>IF(AND(ChartTable[[#This Row],[Novo?]]=0, ChartTable[[#This Row],[Valor Ativo]]&lt;&gt;ChartTable[[#This Row],[Valor Encerrado]]), 1, 0)</f>
        <v>0</v>
      </c>
      <c r="G454" s="18" t="str">
        <f>IF(ChartTable[[#This Row],[Mudou?]]=1, ChartTable[[#This Row],[Valor Encerrado]]-ChartTable[[#This Row],[Valor Ativo]], "")</f>
        <v/>
      </c>
      <c r="H454" s="11" t="str">
        <f>IF(ChartTable[[#This Row],[Mudou?]]=1, IF(ChartTable[[#This Row],[Diferença]]&gt;0, "aumentou", "diminuiu"), "")</f>
        <v/>
      </c>
      <c r="I454" s="11" t="str" cm="1">
        <f t="array" ref="I454">_xlfn.IFS(ChartTable[[#This Row],[Exluido?]]=1,"Excluido",ChartTable[[#This Row],[Novo?]]=1, "Novo", ChartTable[[#This Row],[Mudou?]]=1, "Mudou")</f>
        <v>Novo</v>
      </c>
    </row>
    <row r="455" spans="1:9" x14ac:dyDescent="0.25">
      <c r="A455" t="s">
        <v>464</v>
      </c>
      <c r="B455" s="10">
        <v>11994.079563754722</v>
      </c>
      <c r="C455" s="10"/>
      <c r="D455" s="11">
        <f>IF(AND(ChartTable[[#This Row],[Valor Encerrado]]=0, ChartTable[[#This Row],[Valor Ativo]]=""), 1, 0)</f>
        <v>0</v>
      </c>
      <c r="E455" s="11">
        <f>IF(AND(ChartTable[[#This Row],[Valor Ativo]]&lt;&gt;"", ChartTable[[#This Row],[Valor Encerrado]]=""), 1, 0)</f>
        <v>1</v>
      </c>
      <c r="F455" s="11">
        <f>IF(AND(ChartTable[[#This Row],[Novo?]]=0, ChartTable[[#This Row],[Valor Ativo]]&lt;&gt;ChartTable[[#This Row],[Valor Encerrado]]), 1, 0)</f>
        <v>0</v>
      </c>
      <c r="G455" s="18" t="str">
        <f>IF(ChartTable[[#This Row],[Mudou?]]=1, ChartTable[[#This Row],[Valor Encerrado]]-ChartTable[[#This Row],[Valor Ativo]], "")</f>
        <v/>
      </c>
      <c r="H455" s="11" t="str">
        <f>IF(ChartTable[[#This Row],[Mudou?]]=1, IF(ChartTable[[#This Row],[Diferença]]&gt;0, "aumentou", "diminuiu"), "")</f>
        <v/>
      </c>
      <c r="I455" s="11" t="str" cm="1">
        <f t="array" ref="I455">_xlfn.IFS(ChartTable[[#This Row],[Exluido?]]=1,"Excluido",ChartTable[[#This Row],[Novo?]]=1, "Novo", ChartTable[[#This Row],[Mudou?]]=1, "Mudou")</f>
        <v>Novo</v>
      </c>
    </row>
    <row r="456" spans="1:9" x14ac:dyDescent="0.25">
      <c r="A456" t="s">
        <v>465</v>
      </c>
      <c r="B456" s="10">
        <v>11994.079563754722</v>
      </c>
      <c r="C456" s="10"/>
      <c r="D456" s="11">
        <f>IF(AND(ChartTable[[#This Row],[Valor Encerrado]]=0, ChartTable[[#This Row],[Valor Ativo]]=""), 1, 0)</f>
        <v>0</v>
      </c>
      <c r="E456" s="11">
        <f>IF(AND(ChartTable[[#This Row],[Valor Ativo]]&lt;&gt;"", ChartTable[[#This Row],[Valor Encerrado]]=""), 1, 0)</f>
        <v>1</v>
      </c>
      <c r="F456" s="11">
        <f>IF(AND(ChartTable[[#This Row],[Novo?]]=0, ChartTable[[#This Row],[Valor Ativo]]&lt;&gt;ChartTable[[#This Row],[Valor Encerrado]]), 1, 0)</f>
        <v>0</v>
      </c>
      <c r="G456" s="18" t="str">
        <f>IF(ChartTable[[#This Row],[Mudou?]]=1, ChartTable[[#This Row],[Valor Encerrado]]-ChartTable[[#This Row],[Valor Ativo]], "")</f>
        <v/>
      </c>
      <c r="H456" s="11" t="str">
        <f>IF(ChartTable[[#This Row],[Mudou?]]=1, IF(ChartTable[[#This Row],[Diferença]]&gt;0, "aumentou", "diminuiu"), "")</f>
        <v/>
      </c>
      <c r="I456" s="11" t="str" cm="1">
        <f t="array" ref="I456">_xlfn.IFS(ChartTable[[#This Row],[Exluido?]]=1,"Excluido",ChartTable[[#This Row],[Novo?]]=1, "Novo", ChartTable[[#This Row],[Mudou?]]=1, "Mudou")</f>
        <v>Novo</v>
      </c>
    </row>
    <row r="457" spans="1:9" x14ac:dyDescent="0.25">
      <c r="A457" t="s">
        <v>466</v>
      </c>
      <c r="B457" s="10">
        <v>11994.079563754722</v>
      </c>
      <c r="C457" s="10"/>
      <c r="D457" s="11">
        <f>IF(AND(ChartTable[[#This Row],[Valor Encerrado]]=0, ChartTable[[#This Row],[Valor Ativo]]=""), 1, 0)</f>
        <v>0</v>
      </c>
      <c r="E457" s="11">
        <f>IF(AND(ChartTable[[#This Row],[Valor Ativo]]&lt;&gt;"", ChartTable[[#This Row],[Valor Encerrado]]=""), 1, 0)</f>
        <v>1</v>
      </c>
      <c r="F457" s="11">
        <f>IF(AND(ChartTable[[#This Row],[Novo?]]=0, ChartTable[[#This Row],[Valor Ativo]]&lt;&gt;ChartTable[[#This Row],[Valor Encerrado]]), 1, 0)</f>
        <v>0</v>
      </c>
      <c r="G457" s="18" t="str">
        <f>IF(ChartTable[[#This Row],[Mudou?]]=1, ChartTable[[#This Row],[Valor Encerrado]]-ChartTable[[#This Row],[Valor Ativo]], "")</f>
        <v/>
      </c>
      <c r="H457" s="11" t="str">
        <f>IF(ChartTable[[#This Row],[Mudou?]]=1, IF(ChartTable[[#This Row],[Diferença]]&gt;0, "aumentou", "diminuiu"), "")</f>
        <v/>
      </c>
      <c r="I457" s="11" t="str" cm="1">
        <f t="array" ref="I457">_xlfn.IFS(ChartTable[[#This Row],[Exluido?]]=1,"Excluido",ChartTable[[#This Row],[Novo?]]=1, "Novo", ChartTable[[#This Row],[Mudou?]]=1, "Mudou")</f>
        <v>Novo</v>
      </c>
    </row>
    <row r="458" spans="1:9" x14ac:dyDescent="0.25">
      <c r="A458" t="s">
        <v>467</v>
      </c>
      <c r="B458" s="10">
        <v>11994.079563754722</v>
      </c>
      <c r="C458" s="10"/>
      <c r="D458" s="11">
        <f>IF(AND(ChartTable[[#This Row],[Valor Encerrado]]=0, ChartTable[[#This Row],[Valor Ativo]]=""), 1, 0)</f>
        <v>0</v>
      </c>
      <c r="E458" s="11">
        <f>IF(AND(ChartTable[[#This Row],[Valor Ativo]]&lt;&gt;"", ChartTable[[#This Row],[Valor Encerrado]]=""), 1, 0)</f>
        <v>1</v>
      </c>
      <c r="F458" s="11">
        <f>IF(AND(ChartTable[[#This Row],[Novo?]]=0, ChartTable[[#This Row],[Valor Ativo]]&lt;&gt;ChartTable[[#This Row],[Valor Encerrado]]), 1, 0)</f>
        <v>0</v>
      </c>
      <c r="G458" s="18" t="str">
        <f>IF(ChartTable[[#This Row],[Mudou?]]=1, ChartTable[[#This Row],[Valor Encerrado]]-ChartTable[[#This Row],[Valor Ativo]], "")</f>
        <v/>
      </c>
      <c r="H458" s="11" t="str">
        <f>IF(ChartTable[[#This Row],[Mudou?]]=1, IF(ChartTable[[#This Row],[Diferença]]&gt;0, "aumentou", "diminuiu"), "")</f>
        <v/>
      </c>
      <c r="I458" s="11" t="str" cm="1">
        <f t="array" ref="I458">_xlfn.IFS(ChartTable[[#This Row],[Exluido?]]=1,"Excluido",ChartTable[[#This Row],[Novo?]]=1, "Novo", ChartTable[[#This Row],[Mudou?]]=1, "Mudou")</f>
        <v>Novo</v>
      </c>
    </row>
    <row r="459" spans="1:9" x14ac:dyDescent="0.25">
      <c r="A459" t="s">
        <v>468</v>
      </c>
      <c r="B459" s="10">
        <v>11994.079563754722</v>
      </c>
      <c r="C459" s="10"/>
      <c r="D459" s="11">
        <f>IF(AND(ChartTable[[#This Row],[Valor Encerrado]]=0, ChartTable[[#This Row],[Valor Ativo]]=""), 1, 0)</f>
        <v>0</v>
      </c>
      <c r="E459" s="11">
        <f>IF(AND(ChartTable[[#This Row],[Valor Ativo]]&lt;&gt;"", ChartTable[[#This Row],[Valor Encerrado]]=""), 1, 0)</f>
        <v>1</v>
      </c>
      <c r="F459" s="11">
        <f>IF(AND(ChartTable[[#This Row],[Novo?]]=0, ChartTable[[#This Row],[Valor Ativo]]&lt;&gt;ChartTable[[#This Row],[Valor Encerrado]]), 1, 0)</f>
        <v>0</v>
      </c>
      <c r="G459" s="18" t="str">
        <f>IF(ChartTable[[#This Row],[Mudou?]]=1, ChartTable[[#This Row],[Valor Encerrado]]-ChartTable[[#This Row],[Valor Ativo]], "")</f>
        <v/>
      </c>
      <c r="H459" s="11" t="str">
        <f>IF(ChartTable[[#This Row],[Mudou?]]=1, IF(ChartTable[[#This Row],[Diferença]]&gt;0, "aumentou", "diminuiu"), "")</f>
        <v/>
      </c>
      <c r="I459" s="11" t="str" cm="1">
        <f t="array" ref="I459">_xlfn.IFS(ChartTable[[#This Row],[Exluido?]]=1,"Excluido",ChartTable[[#This Row],[Novo?]]=1, "Novo", ChartTable[[#This Row],[Mudou?]]=1, "Mudou")</f>
        <v>Novo</v>
      </c>
    </row>
    <row r="460" spans="1:9" x14ac:dyDescent="0.25">
      <c r="A460" t="s">
        <v>469</v>
      </c>
      <c r="B460" s="10">
        <v>11994.079563754722</v>
      </c>
      <c r="C460" s="10"/>
      <c r="D460" s="11">
        <f>IF(AND(ChartTable[[#This Row],[Valor Encerrado]]=0, ChartTable[[#This Row],[Valor Ativo]]=""), 1, 0)</f>
        <v>0</v>
      </c>
      <c r="E460" s="11">
        <f>IF(AND(ChartTable[[#This Row],[Valor Ativo]]&lt;&gt;"", ChartTable[[#This Row],[Valor Encerrado]]=""), 1, 0)</f>
        <v>1</v>
      </c>
      <c r="F460" s="11">
        <f>IF(AND(ChartTable[[#This Row],[Novo?]]=0, ChartTable[[#This Row],[Valor Ativo]]&lt;&gt;ChartTable[[#This Row],[Valor Encerrado]]), 1, 0)</f>
        <v>0</v>
      </c>
      <c r="G460" s="18" t="str">
        <f>IF(ChartTable[[#This Row],[Mudou?]]=1, ChartTable[[#This Row],[Valor Encerrado]]-ChartTable[[#This Row],[Valor Ativo]], "")</f>
        <v/>
      </c>
      <c r="H460" s="11" t="str">
        <f>IF(ChartTable[[#This Row],[Mudou?]]=1, IF(ChartTable[[#This Row],[Diferença]]&gt;0, "aumentou", "diminuiu"), "")</f>
        <v/>
      </c>
      <c r="I460" s="11" t="str" cm="1">
        <f t="array" ref="I460">_xlfn.IFS(ChartTable[[#This Row],[Exluido?]]=1,"Excluido",ChartTable[[#This Row],[Novo?]]=1, "Novo", ChartTable[[#This Row],[Mudou?]]=1, "Mudou")</f>
        <v>Novo</v>
      </c>
    </row>
    <row r="461" spans="1:9" x14ac:dyDescent="0.25">
      <c r="A461" t="s">
        <v>470</v>
      </c>
      <c r="B461" s="10">
        <v>11994.079563754722</v>
      </c>
      <c r="C461" s="10"/>
      <c r="D461" s="11">
        <f>IF(AND(ChartTable[[#This Row],[Valor Encerrado]]=0, ChartTable[[#This Row],[Valor Ativo]]=""), 1, 0)</f>
        <v>0</v>
      </c>
      <c r="E461" s="11">
        <f>IF(AND(ChartTable[[#This Row],[Valor Ativo]]&lt;&gt;"", ChartTable[[#This Row],[Valor Encerrado]]=""), 1, 0)</f>
        <v>1</v>
      </c>
      <c r="F461" s="11">
        <f>IF(AND(ChartTable[[#This Row],[Novo?]]=0, ChartTable[[#This Row],[Valor Ativo]]&lt;&gt;ChartTable[[#This Row],[Valor Encerrado]]), 1, 0)</f>
        <v>0</v>
      </c>
      <c r="G461" s="18" t="str">
        <f>IF(ChartTable[[#This Row],[Mudou?]]=1, ChartTable[[#This Row],[Valor Encerrado]]-ChartTable[[#This Row],[Valor Ativo]], "")</f>
        <v/>
      </c>
      <c r="H461" s="11" t="str">
        <f>IF(ChartTable[[#This Row],[Mudou?]]=1, IF(ChartTable[[#This Row],[Diferença]]&gt;0, "aumentou", "diminuiu"), "")</f>
        <v/>
      </c>
      <c r="I461" s="11" t="str" cm="1">
        <f t="array" ref="I461">_xlfn.IFS(ChartTable[[#This Row],[Exluido?]]=1,"Excluido",ChartTable[[#This Row],[Novo?]]=1, "Novo", ChartTable[[#This Row],[Mudou?]]=1, "Mudou")</f>
        <v>Novo</v>
      </c>
    </row>
    <row r="462" spans="1:9" x14ac:dyDescent="0.25">
      <c r="A462" t="s">
        <v>471</v>
      </c>
      <c r="B462" s="10">
        <v>11994.079563754722</v>
      </c>
      <c r="C462" s="10"/>
      <c r="D462" s="11">
        <f>IF(AND(ChartTable[[#This Row],[Valor Encerrado]]=0, ChartTable[[#This Row],[Valor Ativo]]=""), 1, 0)</f>
        <v>0</v>
      </c>
      <c r="E462" s="11">
        <f>IF(AND(ChartTable[[#This Row],[Valor Ativo]]&lt;&gt;"", ChartTable[[#This Row],[Valor Encerrado]]=""), 1, 0)</f>
        <v>1</v>
      </c>
      <c r="F462" s="11">
        <f>IF(AND(ChartTable[[#This Row],[Novo?]]=0, ChartTable[[#This Row],[Valor Ativo]]&lt;&gt;ChartTable[[#This Row],[Valor Encerrado]]), 1, 0)</f>
        <v>0</v>
      </c>
      <c r="G462" s="18" t="str">
        <f>IF(ChartTable[[#This Row],[Mudou?]]=1, ChartTable[[#This Row],[Valor Encerrado]]-ChartTable[[#This Row],[Valor Ativo]], "")</f>
        <v/>
      </c>
      <c r="H462" s="11" t="str">
        <f>IF(ChartTable[[#This Row],[Mudou?]]=1, IF(ChartTable[[#This Row],[Diferença]]&gt;0, "aumentou", "diminuiu"), "")</f>
        <v/>
      </c>
      <c r="I462" s="11" t="str" cm="1">
        <f t="array" ref="I462">_xlfn.IFS(ChartTable[[#This Row],[Exluido?]]=1,"Excluido",ChartTable[[#This Row],[Novo?]]=1, "Novo", ChartTable[[#This Row],[Mudou?]]=1, "Mudou")</f>
        <v>Novo</v>
      </c>
    </row>
    <row r="463" spans="1:9" x14ac:dyDescent="0.25">
      <c r="A463" t="s">
        <v>472</v>
      </c>
      <c r="B463" s="10">
        <v>11994.079563754722</v>
      </c>
      <c r="C463" s="10"/>
      <c r="D463" s="11">
        <f>IF(AND(ChartTable[[#This Row],[Valor Encerrado]]=0, ChartTable[[#This Row],[Valor Ativo]]=""), 1, 0)</f>
        <v>0</v>
      </c>
      <c r="E463" s="11">
        <f>IF(AND(ChartTable[[#This Row],[Valor Ativo]]&lt;&gt;"", ChartTable[[#This Row],[Valor Encerrado]]=""), 1, 0)</f>
        <v>1</v>
      </c>
      <c r="F463" s="11">
        <f>IF(AND(ChartTable[[#This Row],[Novo?]]=0, ChartTable[[#This Row],[Valor Ativo]]&lt;&gt;ChartTable[[#This Row],[Valor Encerrado]]), 1, 0)</f>
        <v>0</v>
      </c>
      <c r="G463" s="18" t="str">
        <f>IF(ChartTable[[#This Row],[Mudou?]]=1, ChartTable[[#This Row],[Valor Encerrado]]-ChartTable[[#This Row],[Valor Ativo]], "")</f>
        <v/>
      </c>
      <c r="H463" s="11" t="str">
        <f>IF(ChartTable[[#This Row],[Mudou?]]=1, IF(ChartTable[[#This Row],[Diferença]]&gt;0, "aumentou", "diminuiu"), "")</f>
        <v/>
      </c>
      <c r="I463" s="11" t="str" cm="1">
        <f t="array" ref="I463">_xlfn.IFS(ChartTable[[#This Row],[Exluido?]]=1,"Excluido",ChartTable[[#This Row],[Novo?]]=1, "Novo", ChartTable[[#This Row],[Mudou?]]=1, "Mudou")</f>
        <v>Novo</v>
      </c>
    </row>
    <row r="464" spans="1:9" x14ac:dyDescent="0.25">
      <c r="A464" t="s">
        <v>473</v>
      </c>
      <c r="B464" s="10">
        <v>11994.079563754722</v>
      </c>
      <c r="C464" s="10"/>
      <c r="D464" s="11">
        <f>IF(AND(ChartTable[[#This Row],[Valor Encerrado]]=0, ChartTable[[#This Row],[Valor Ativo]]=""), 1, 0)</f>
        <v>0</v>
      </c>
      <c r="E464" s="11">
        <f>IF(AND(ChartTable[[#This Row],[Valor Ativo]]&lt;&gt;"", ChartTable[[#This Row],[Valor Encerrado]]=""), 1, 0)</f>
        <v>1</v>
      </c>
      <c r="F464" s="11">
        <f>IF(AND(ChartTable[[#This Row],[Novo?]]=0, ChartTable[[#This Row],[Valor Ativo]]&lt;&gt;ChartTable[[#This Row],[Valor Encerrado]]), 1, 0)</f>
        <v>0</v>
      </c>
      <c r="G464" s="18" t="str">
        <f>IF(ChartTable[[#This Row],[Mudou?]]=1, ChartTable[[#This Row],[Valor Encerrado]]-ChartTable[[#This Row],[Valor Ativo]], "")</f>
        <v/>
      </c>
      <c r="H464" s="11" t="str">
        <f>IF(ChartTable[[#This Row],[Mudou?]]=1, IF(ChartTable[[#This Row],[Diferença]]&gt;0, "aumentou", "diminuiu"), "")</f>
        <v/>
      </c>
      <c r="I464" s="11" t="str" cm="1">
        <f t="array" ref="I464">_xlfn.IFS(ChartTable[[#This Row],[Exluido?]]=1,"Excluido",ChartTable[[#This Row],[Novo?]]=1, "Novo", ChartTable[[#This Row],[Mudou?]]=1, "Mudou")</f>
        <v>Novo</v>
      </c>
    </row>
    <row r="465" spans="1:9" x14ac:dyDescent="0.25">
      <c r="A465" t="s">
        <v>474</v>
      </c>
      <c r="B465" s="10">
        <v>11994.079563754722</v>
      </c>
      <c r="C465" s="10"/>
      <c r="D465" s="11">
        <f>IF(AND(ChartTable[[#This Row],[Valor Encerrado]]=0, ChartTable[[#This Row],[Valor Ativo]]=""), 1, 0)</f>
        <v>0</v>
      </c>
      <c r="E465" s="11">
        <f>IF(AND(ChartTable[[#This Row],[Valor Ativo]]&lt;&gt;"", ChartTable[[#This Row],[Valor Encerrado]]=""), 1, 0)</f>
        <v>1</v>
      </c>
      <c r="F465" s="11">
        <f>IF(AND(ChartTable[[#This Row],[Novo?]]=0, ChartTable[[#This Row],[Valor Ativo]]&lt;&gt;ChartTable[[#This Row],[Valor Encerrado]]), 1, 0)</f>
        <v>0</v>
      </c>
      <c r="G465" s="18" t="str">
        <f>IF(ChartTable[[#This Row],[Mudou?]]=1, ChartTable[[#This Row],[Valor Encerrado]]-ChartTable[[#This Row],[Valor Ativo]], "")</f>
        <v/>
      </c>
      <c r="H465" s="11" t="str">
        <f>IF(ChartTable[[#This Row],[Mudou?]]=1, IF(ChartTable[[#This Row],[Diferença]]&gt;0, "aumentou", "diminuiu"), "")</f>
        <v/>
      </c>
      <c r="I465" s="11" t="str" cm="1">
        <f t="array" ref="I465">_xlfn.IFS(ChartTable[[#This Row],[Exluido?]]=1,"Excluido",ChartTable[[#This Row],[Novo?]]=1, "Novo", ChartTable[[#This Row],[Mudou?]]=1, "Mudou")</f>
        <v>Novo</v>
      </c>
    </row>
    <row r="466" spans="1:9" x14ac:dyDescent="0.25">
      <c r="A466" t="s">
        <v>475</v>
      </c>
      <c r="B466" s="10">
        <v>11994.079563754722</v>
      </c>
      <c r="C466" s="10"/>
      <c r="D466" s="11">
        <f>IF(AND(ChartTable[[#This Row],[Valor Encerrado]]=0, ChartTable[[#This Row],[Valor Ativo]]=""), 1, 0)</f>
        <v>0</v>
      </c>
      <c r="E466" s="11">
        <f>IF(AND(ChartTable[[#This Row],[Valor Ativo]]&lt;&gt;"", ChartTable[[#This Row],[Valor Encerrado]]=""), 1, 0)</f>
        <v>1</v>
      </c>
      <c r="F466" s="11">
        <f>IF(AND(ChartTable[[#This Row],[Novo?]]=0, ChartTable[[#This Row],[Valor Ativo]]&lt;&gt;ChartTable[[#This Row],[Valor Encerrado]]), 1, 0)</f>
        <v>0</v>
      </c>
      <c r="G466" s="18" t="str">
        <f>IF(ChartTable[[#This Row],[Mudou?]]=1, ChartTable[[#This Row],[Valor Encerrado]]-ChartTable[[#This Row],[Valor Ativo]], "")</f>
        <v/>
      </c>
      <c r="H466" s="11" t="str">
        <f>IF(ChartTable[[#This Row],[Mudou?]]=1, IF(ChartTable[[#This Row],[Diferença]]&gt;0, "aumentou", "diminuiu"), "")</f>
        <v/>
      </c>
      <c r="I466" s="11" t="str" cm="1">
        <f t="array" ref="I466">_xlfn.IFS(ChartTable[[#This Row],[Exluido?]]=1,"Excluido",ChartTable[[#This Row],[Novo?]]=1, "Novo", ChartTable[[#This Row],[Mudou?]]=1, "Mudou")</f>
        <v>Novo</v>
      </c>
    </row>
    <row r="467" spans="1:9" x14ac:dyDescent="0.25">
      <c r="A467" t="s">
        <v>476</v>
      </c>
      <c r="B467" s="10">
        <v>11994.079563754722</v>
      </c>
      <c r="C467" s="10"/>
      <c r="D467" s="11">
        <f>IF(AND(ChartTable[[#This Row],[Valor Encerrado]]=0, ChartTable[[#This Row],[Valor Ativo]]=""), 1, 0)</f>
        <v>0</v>
      </c>
      <c r="E467" s="11">
        <f>IF(AND(ChartTable[[#This Row],[Valor Ativo]]&lt;&gt;"", ChartTable[[#This Row],[Valor Encerrado]]=""), 1, 0)</f>
        <v>1</v>
      </c>
      <c r="F467" s="11">
        <f>IF(AND(ChartTable[[#This Row],[Novo?]]=0, ChartTable[[#This Row],[Valor Ativo]]&lt;&gt;ChartTable[[#This Row],[Valor Encerrado]]), 1, 0)</f>
        <v>0</v>
      </c>
      <c r="G467" s="18" t="str">
        <f>IF(ChartTable[[#This Row],[Mudou?]]=1, ChartTable[[#This Row],[Valor Encerrado]]-ChartTable[[#This Row],[Valor Ativo]], "")</f>
        <v/>
      </c>
      <c r="H467" s="11" t="str">
        <f>IF(ChartTable[[#This Row],[Mudou?]]=1, IF(ChartTable[[#This Row],[Diferença]]&gt;0, "aumentou", "diminuiu"), "")</f>
        <v/>
      </c>
      <c r="I467" s="11" t="str" cm="1">
        <f t="array" ref="I467">_xlfn.IFS(ChartTable[[#This Row],[Exluido?]]=1,"Excluido",ChartTable[[#This Row],[Novo?]]=1, "Novo", ChartTable[[#This Row],[Mudou?]]=1, "Mudou")</f>
        <v>Novo</v>
      </c>
    </row>
    <row r="468" spans="1:9" x14ac:dyDescent="0.25">
      <c r="A468" t="s">
        <v>477</v>
      </c>
      <c r="B468" s="10">
        <v>11994.079563754722</v>
      </c>
      <c r="C468" s="10"/>
      <c r="D468" s="11">
        <f>IF(AND(ChartTable[[#This Row],[Valor Encerrado]]=0, ChartTable[[#This Row],[Valor Ativo]]=""), 1, 0)</f>
        <v>0</v>
      </c>
      <c r="E468" s="11">
        <f>IF(AND(ChartTable[[#This Row],[Valor Ativo]]&lt;&gt;"", ChartTable[[#This Row],[Valor Encerrado]]=""), 1, 0)</f>
        <v>1</v>
      </c>
      <c r="F468" s="11">
        <f>IF(AND(ChartTable[[#This Row],[Novo?]]=0, ChartTable[[#This Row],[Valor Ativo]]&lt;&gt;ChartTable[[#This Row],[Valor Encerrado]]), 1, 0)</f>
        <v>0</v>
      </c>
      <c r="G468" s="18" t="str">
        <f>IF(ChartTable[[#This Row],[Mudou?]]=1, ChartTable[[#This Row],[Valor Encerrado]]-ChartTable[[#This Row],[Valor Ativo]], "")</f>
        <v/>
      </c>
      <c r="H468" s="11" t="str">
        <f>IF(ChartTable[[#This Row],[Mudou?]]=1, IF(ChartTable[[#This Row],[Diferença]]&gt;0, "aumentou", "diminuiu"), "")</f>
        <v/>
      </c>
      <c r="I468" s="11" t="str" cm="1">
        <f t="array" ref="I468">_xlfn.IFS(ChartTable[[#This Row],[Exluido?]]=1,"Excluido",ChartTable[[#This Row],[Novo?]]=1, "Novo", ChartTable[[#This Row],[Mudou?]]=1, "Mudou")</f>
        <v>Novo</v>
      </c>
    </row>
    <row r="469" spans="1:9" x14ac:dyDescent="0.25">
      <c r="A469" t="s">
        <v>478</v>
      </c>
      <c r="B469" s="10">
        <v>11994.079563754722</v>
      </c>
      <c r="C469" s="10"/>
      <c r="D469" s="11">
        <f>IF(AND(ChartTable[[#This Row],[Valor Encerrado]]=0, ChartTable[[#This Row],[Valor Ativo]]=""), 1, 0)</f>
        <v>0</v>
      </c>
      <c r="E469" s="11">
        <f>IF(AND(ChartTable[[#This Row],[Valor Ativo]]&lt;&gt;"", ChartTable[[#This Row],[Valor Encerrado]]=""), 1, 0)</f>
        <v>1</v>
      </c>
      <c r="F469" s="11">
        <f>IF(AND(ChartTable[[#This Row],[Novo?]]=0, ChartTable[[#This Row],[Valor Ativo]]&lt;&gt;ChartTable[[#This Row],[Valor Encerrado]]), 1, 0)</f>
        <v>0</v>
      </c>
      <c r="G469" s="18" t="str">
        <f>IF(ChartTable[[#This Row],[Mudou?]]=1, ChartTable[[#This Row],[Valor Encerrado]]-ChartTable[[#This Row],[Valor Ativo]], "")</f>
        <v/>
      </c>
      <c r="H469" s="11" t="str">
        <f>IF(ChartTable[[#This Row],[Mudou?]]=1, IF(ChartTable[[#This Row],[Diferença]]&gt;0, "aumentou", "diminuiu"), "")</f>
        <v/>
      </c>
      <c r="I469" s="11" t="str" cm="1">
        <f t="array" ref="I469">_xlfn.IFS(ChartTable[[#This Row],[Exluido?]]=1,"Excluido",ChartTable[[#This Row],[Novo?]]=1, "Novo", ChartTable[[#This Row],[Mudou?]]=1, "Mudou")</f>
        <v>Novo</v>
      </c>
    </row>
    <row r="470" spans="1:9" x14ac:dyDescent="0.25">
      <c r="A470" t="s">
        <v>479</v>
      </c>
      <c r="B470" s="10">
        <v>11994.079563754722</v>
      </c>
      <c r="C470" s="10"/>
      <c r="D470" s="11">
        <f>IF(AND(ChartTable[[#This Row],[Valor Encerrado]]=0, ChartTable[[#This Row],[Valor Ativo]]=""), 1, 0)</f>
        <v>0</v>
      </c>
      <c r="E470" s="11">
        <f>IF(AND(ChartTable[[#This Row],[Valor Ativo]]&lt;&gt;"", ChartTable[[#This Row],[Valor Encerrado]]=""), 1, 0)</f>
        <v>1</v>
      </c>
      <c r="F470" s="11">
        <f>IF(AND(ChartTable[[#This Row],[Novo?]]=0, ChartTable[[#This Row],[Valor Ativo]]&lt;&gt;ChartTable[[#This Row],[Valor Encerrado]]), 1, 0)</f>
        <v>0</v>
      </c>
      <c r="G470" s="18" t="str">
        <f>IF(ChartTable[[#This Row],[Mudou?]]=1, ChartTable[[#This Row],[Valor Encerrado]]-ChartTable[[#This Row],[Valor Ativo]], "")</f>
        <v/>
      </c>
      <c r="H470" s="11" t="str">
        <f>IF(ChartTable[[#This Row],[Mudou?]]=1, IF(ChartTable[[#This Row],[Diferença]]&gt;0, "aumentou", "diminuiu"), "")</f>
        <v/>
      </c>
      <c r="I470" s="11" t="str" cm="1">
        <f t="array" ref="I470">_xlfn.IFS(ChartTable[[#This Row],[Exluido?]]=1,"Excluido",ChartTable[[#This Row],[Novo?]]=1, "Novo", ChartTable[[#This Row],[Mudou?]]=1, "Mudou")</f>
        <v>Novo</v>
      </c>
    </row>
    <row r="471" spans="1:9" x14ac:dyDescent="0.25">
      <c r="A471" t="s">
        <v>480</v>
      </c>
      <c r="B471" s="10">
        <v>11994.079563754722</v>
      </c>
      <c r="C471" s="10"/>
      <c r="D471" s="11">
        <f>IF(AND(ChartTable[[#This Row],[Valor Encerrado]]=0, ChartTable[[#This Row],[Valor Ativo]]=""), 1, 0)</f>
        <v>0</v>
      </c>
      <c r="E471" s="11">
        <f>IF(AND(ChartTable[[#This Row],[Valor Ativo]]&lt;&gt;"", ChartTable[[#This Row],[Valor Encerrado]]=""), 1, 0)</f>
        <v>1</v>
      </c>
      <c r="F471" s="11">
        <f>IF(AND(ChartTable[[#This Row],[Novo?]]=0, ChartTable[[#This Row],[Valor Ativo]]&lt;&gt;ChartTable[[#This Row],[Valor Encerrado]]), 1, 0)</f>
        <v>0</v>
      </c>
      <c r="G471" s="18" t="str">
        <f>IF(ChartTable[[#This Row],[Mudou?]]=1, ChartTable[[#This Row],[Valor Encerrado]]-ChartTable[[#This Row],[Valor Ativo]], "")</f>
        <v/>
      </c>
      <c r="H471" s="11" t="str">
        <f>IF(ChartTable[[#This Row],[Mudou?]]=1, IF(ChartTable[[#This Row],[Diferença]]&gt;0, "aumentou", "diminuiu"), "")</f>
        <v/>
      </c>
      <c r="I471" s="11" t="str" cm="1">
        <f t="array" ref="I471">_xlfn.IFS(ChartTable[[#This Row],[Exluido?]]=1,"Excluido",ChartTable[[#This Row],[Novo?]]=1, "Novo", ChartTable[[#This Row],[Mudou?]]=1, "Mudou")</f>
        <v>Novo</v>
      </c>
    </row>
    <row r="472" spans="1:9" x14ac:dyDescent="0.25">
      <c r="A472" t="s">
        <v>481</v>
      </c>
      <c r="B472" s="10">
        <v>11994.079563754722</v>
      </c>
      <c r="C472" s="10"/>
      <c r="D472" s="11">
        <f>IF(AND(ChartTable[[#This Row],[Valor Encerrado]]=0, ChartTable[[#This Row],[Valor Ativo]]=""), 1, 0)</f>
        <v>0</v>
      </c>
      <c r="E472" s="11">
        <f>IF(AND(ChartTable[[#This Row],[Valor Ativo]]&lt;&gt;"", ChartTable[[#This Row],[Valor Encerrado]]=""), 1, 0)</f>
        <v>1</v>
      </c>
      <c r="F472" s="11">
        <f>IF(AND(ChartTable[[#This Row],[Novo?]]=0, ChartTable[[#This Row],[Valor Ativo]]&lt;&gt;ChartTable[[#This Row],[Valor Encerrado]]), 1, 0)</f>
        <v>0</v>
      </c>
      <c r="G472" s="18" t="str">
        <f>IF(ChartTable[[#This Row],[Mudou?]]=1, ChartTable[[#This Row],[Valor Encerrado]]-ChartTable[[#This Row],[Valor Ativo]], "")</f>
        <v/>
      </c>
      <c r="H472" s="11" t="str">
        <f>IF(ChartTable[[#This Row],[Mudou?]]=1, IF(ChartTable[[#This Row],[Diferença]]&gt;0, "aumentou", "diminuiu"), "")</f>
        <v/>
      </c>
      <c r="I472" s="11" t="str" cm="1">
        <f t="array" ref="I472">_xlfn.IFS(ChartTable[[#This Row],[Exluido?]]=1,"Excluido",ChartTable[[#This Row],[Novo?]]=1, "Novo", ChartTable[[#This Row],[Mudou?]]=1, "Mudou")</f>
        <v>Novo</v>
      </c>
    </row>
    <row r="473" spans="1:9" x14ac:dyDescent="0.25">
      <c r="A473" t="s">
        <v>482</v>
      </c>
      <c r="B473" s="10">
        <v>11994.079563754722</v>
      </c>
      <c r="C473" s="10"/>
      <c r="D473" s="11">
        <f>IF(AND(ChartTable[[#This Row],[Valor Encerrado]]=0, ChartTable[[#This Row],[Valor Ativo]]=""), 1, 0)</f>
        <v>0</v>
      </c>
      <c r="E473" s="11">
        <f>IF(AND(ChartTable[[#This Row],[Valor Ativo]]&lt;&gt;"", ChartTable[[#This Row],[Valor Encerrado]]=""), 1, 0)</f>
        <v>1</v>
      </c>
      <c r="F473" s="11">
        <f>IF(AND(ChartTable[[#This Row],[Novo?]]=0, ChartTable[[#This Row],[Valor Ativo]]&lt;&gt;ChartTable[[#This Row],[Valor Encerrado]]), 1, 0)</f>
        <v>0</v>
      </c>
      <c r="G473" s="18" t="str">
        <f>IF(ChartTable[[#This Row],[Mudou?]]=1, ChartTable[[#This Row],[Valor Encerrado]]-ChartTable[[#This Row],[Valor Ativo]], "")</f>
        <v/>
      </c>
      <c r="H473" s="11" t="str">
        <f>IF(ChartTable[[#This Row],[Mudou?]]=1, IF(ChartTable[[#This Row],[Diferença]]&gt;0, "aumentou", "diminuiu"), "")</f>
        <v/>
      </c>
      <c r="I473" s="11" t="str" cm="1">
        <f t="array" ref="I473">_xlfn.IFS(ChartTable[[#This Row],[Exluido?]]=1,"Excluido",ChartTable[[#This Row],[Novo?]]=1, "Novo", ChartTable[[#This Row],[Mudou?]]=1, "Mudou")</f>
        <v>Novo</v>
      </c>
    </row>
    <row r="474" spans="1:9" x14ac:dyDescent="0.25">
      <c r="A474" t="s">
        <v>483</v>
      </c>
      <c r="B474" s="10">
        <v>11994.079563754722</v>
      </c>
      <c r="C474" s="10"/>
      <c r="D474" s="11">
        <f>IF(AND(ChartTable[[#This Row],[Valor Encerrado]]=0, ChartTable[[#This Row],[Valor Ativo]]=""), 1, 0)</f>
        <v>0</v>
      </c>
      <c r="E474" s="11">
        <f>IF(AND(ChartTable[[#This Row],[Valor Ativo]]&lt;&gt;"", ChartTable[[#This Row],[Valor Encerrado]]=""), 1, 0)</f>
        <v>1</v>
      </c>
      <c r="F474" s="11">
        <f>IF(AND(ChartTable[[#This Row],[Novo?]]=0, ChartTable[[#This Row],[Valor Ativo]]&lt;&gt;ChartTable[[#This Row],[Valor Encerrado]]), 1, 0)</f>
        <v>0</v>
      </c>
      <c r="G474" s="18" t="str">
        <f>IF(ChartTable[[#This Row],[Mudou?]]=1, ChartTable[[#This Row],[Valor Encerrado]]-ChartTable[[#This Row],[Valor Ativo]], "")</f>
        <v/>
      </c>
      <c r="H474" s="11" t="str">
        <f>IF(ChartTable[[#This Row],[Mudou?]]=1, IF(ChartTable[[#This Row],[Diferença]]&gt;0, "aumentou", "diminuiu"), "")</f>
        <v/>
      </c>
      <c r="I474" s="11" t="str" cm="1">
        <f t="array" ref="I474">_xlfn.IFS(ChartTable[[#This Row],[Exluido?]]=1,"Excluido",ChartTable[[#This Row],[Novo?]]=1, "Novo", ChartTable[[#This Row],[Mudou?]]=1, "Mudou")</f>
        <v>Novo</v>
      </c>
    </row>
    <row r="475" spans="1:9" x14ac:dyDescent="0.25">
      <c r="A475" t="s">
        <v>484</v>
      </c>
      <c r="B475" s="10">
        <v>11994.079563754722</v>
      </c>
      <c r="C475" s="10"/>
      <c r="D475" s="11">
        <f>IF(AND(ChartTable[[#This Row],[Valor Encerrado]]=0, ChartTable[[#This Row],[Valor Ativo]]=""), 1, 0)</f>
        <v>0</v>
      </c>
      <c r="E475" s="11">
        <f>IF(AND(ChartTable[[#This Row],[Valor Ativo]]&lt;&gt;"", ChartTable[[#This Row],[Valor Encerrado]]=""), 1, 0)</f>
        <v>1</v>
      </c>
      <c r="F475" s="11">
        <f>IF(AND(ChartTable[[#This Row],[Novo?]]=0, ChartTable[[#This Row],[Valor Ativo]]&lt;&gt;ChartTable[[#This Row],[Valor Encerrado]]), 1, 0)</f>
        <v>0</v>
      </c>
      <c r="G475" s="18" t="str">
        <f>IF(ChartTable[[#This Row],[Mudou?]]=1, ChartTable[[#This Row],[Valor Encerrado]]-ChartTable[[#This Row],[Valor Ativo]], "")</f>
        <v/>
      </c>
      <c r="H475" s="11" t="str">
        <f>IF(ChartTable[[#This Row],[Mudou?]]=1, IF(ChartTable[[#This Row],[Diferença]]&gt;0, "aumentou", "diminuiu"), "")</f>
        <v/>
      </c>
      <c r="I475" s="11" t="str" cm="1">
        <f t="array" ref="I475">_xlfn.IFS(ChartTable[[#This Row],[Exluido?]]=1,"Excluido",ChartTable[[#This Row],[Novo?]]=1, "Novo", ChartTable[[#This Row],[Mudou?]]=1, "Mudou")</f>
        <v>Novo</v>
      </c>
    </row>
    <row r="476" spans="1:9" x14ac:dyDescent="0.25">
      <c r="A476" t="s">
        <v>485</v>
      </c>
      <c r="B476" s="10">
        <v>11994.079563754722</v>
      </c>
      <c r="C476" s="10"/>
      <c r="D476" s="11">
        <f>IF(AND(ChartTable[[#This Row],[Valor Encerrado]]=0, ChartTable[[#This Row],[Valor Ativo]]=""), 1, 0)</f>
        <v>0</v>
      </c>
      <c r="E476" s="11">
        <f>IF(AND(ChartTable[[#This Row],[Valor Ativo]]&lt;&gt;"", ChartTable[[#This Row],[Valor Encerrado]]=""), 1, 0)</f>
        <v>1</v>
      </c>
      <c r="F476" s="11">
        <f>IF(AND(ChartTable[[#This Row],[Novo?]]=0, ChartTable[[#This Row],[Valor Ativo]]&lt;&gt;ChartTable[[#This Row],[Valor Encerrado]]), 1, 0)</f>
        <v>0</v>
      </c>
      <c r="G476" s="18" t="str">
        <f>IF(ChartTable[[#This Row],[Mudou?]]=1, ChartTable[[#This Row],[Valor Encerrado]]-ChartTable[[#This Row],[Valor Ativo]], "")</f>
        <v/>
      </c>
      <c r="H476" s="11" t="str">
        <f>IF(ChartTable[[#This Row],[Mudou?]]=1, IF(ChartTable[[#This Row],[Diferença]]&gt;0, "aumentou", "diminuiu"), "")</f>
        <v/>
      </c>
      <c r="I476" s="11" t="str" cm="1">
        <f t="array" ref="I476">_xlfn.IFS(ChartTable[[#This Row],[Exluido?]]=1,"Excluido",ChartTable[[#This Row],[Novo?]]=1, "Novo", ChartTable[[#This Row],[Mudou?]]=1, "Mudou")</f>
        <v>Novo</v>
      </c>
    </row>
    <row r="477" spans="1:9" x14ac:dyDescent="0.25">
      <c r="A477" t="s">
        <v>486</v>
      </c>
      <c r="B477" s="10">
        <v>11994.079563754722</v>
      </c>
      <c r="C477" s="10"/>
      <c r="D477" s="11">
        <f>IF(AND(ChartTable[[#This Row],[Valor Encerrado]]=0, ChartTable[[#This Row],[Valor Ativo]]=""), 1, 0)</f>
        <v>0</v>
      </c>
      <c r="E477" s="11">
        <f>IF(AND(ChartTable[[#This Row],[Valor Ativo]]&lt;&gt;"", ChartTable[[#This Row],[Valor Encerrado]]=""), 1, 0)</f>
        <v>1</v>
      </c>
      <c r="F477" s="11">
        <f>IF(AND(ChartTable[[#This Row],[Novo?]]=0, ChartTable[[#This Row],[Valor Ativo]]&lt;&gt;ChartTable[[#This Row],[Valor Encerrado]]), 1, 0)</f>
        <v>0</v>
      </c>
      <c r="G477" s="18" t="str">
        <f>IF(ChartTable[[#This Row],[Mudou?]]=1, ChartTable[[#This Row],[Valor Encerrado]]-ChartTable[[#This Row],[Valor Ativo]], "")</f>
        <v/>
      </c>
      <c r="H477" s="11" t="str">
        <f>IF(ChartTable[[#This Row],[Mudou?]]=1, IF(ChartTable[[#This Row],[Diferença]]&gt;0, "aumentou", "diminuiu"), "")</f>
        <v/>
      </c>
      <c r="I477" s="11" t="str" cm="1">
        <f t="array" ref="I477">_xlfn.IFS(ChartTable[[#This Row],[Exluido?]]=1,"Excluido",ChartTable[[#This Row],[Novo?]]=1, "Novo", ChartTable[[#This Row],[Mudou?]]=1, "Mudou")</f>
        <v>Novo</v>
      </c>
    </row>
    <row r="478" spans="1:9" x14ac:dyDescent="0.25">
      <c r="A478" t="s">
        <v>487</v>
      </c>
      <c r="B478" s="10">
        <v>11994.079563754722</v>
      </c>
      <c r="C478" s="10"/>
      <c r="D478" s="11">
        <f>IF(AND(ChartTable[[#This Row],[Valor Encerrado]]=0, ChartTable[[#This Row],[Valor Ativo]]=""), 1, 0)</f>
        <v>0</v>
      </c>
      <c r="E478" s="11">
        <f>IF(AND(ChartTable[[#This Row],[Valor Ativo]]&lt;&gt;"", ChartTable[[#This Row],[Valor Encerrado]]=""), 1, 0)</f>
        <v>1</v>
      </c>
      <c r="F478" s="11">
        <f>IF(AND(ChartTable[[#This Row],[Novo?]]=0, ChartTable[[#This Row],[Valor Ativo]]&lt;&gt;ChartTable[[#This Row],[Valor Encerrado]]), 1, 0)</f>
        <v>0</v>
      </c>
      <c r="G478" s="18" t="str">
        <f>IF(ChartTable[[#This Row],[Mudou?]]=1, ChartTable[[#This Row],[Valor Encerrado]]-ChartTable[[#This Row],[Valor Ativo]], "")</f>
        <v/>
      </c>
      <c r="H478" s="11" t="str">
        <f>IF(ChartTable[[#This Row],[Mudou?]]=1, IF(ChartTable[[#This Row],[Diferença]]&gt;0, "aumentou", "diminuiu"), "")</f>
        <v/>
      </c>
      <c r="I478" s="11" t="str" cm="1">
        <f t="array" ref="I478">_xlfn.IFS(ChartTable[[#This Row],[Exluido?]]=1,"Excluido",ChartTable[[#This Row],[Novo?]]=1, "Novo", ChartTable[[#This Row],[Mudou?]]=1, "Mudou")</f>
        <v>Novo</v>
      </c>
    </row>
    <row r="479" spans="1:9" x14ac:dyDescent="0.25">
      <c r="A479" t="s">
        <v>488</v>
      </c>
      <c r="B479" s="10">
        <v>11994.079563754722</v>
      </c>
      <c r="C479" s="10"/>
      <c r="D479" s="11">
        <f>IF(AND(ChartTable[[#This Row],[Valor Encerrado]]=0, ChartTable[[#This Row],[Valor Ativo]]=""), 1, 0)</f>
        <v>0</v>
      </c>
      <c r="E479" s="11">
        <f>IF(AND(ChartTable[[#This Row],[Valor Ativo]]&lt;&gt;"", ChartTable[[#This Row],[Valor Encerrado]]=""), 1, 0)</f>
        <v>1</v>
      </c>
      <c r="F479" s="11">
        <f>IF(AND(ChartTable[[#This Row],[Novo?]]=0, ChartTable[[#This Row],[Valor Ativo]]&lt;&gt;ChartTable[[#This Row],[Valor Encerrado]]), 1, 0)</f>
        <v>0</v>
      </c>
      <c r="G479" s="18" t="str">
        <f>IF(ChartTable[[#This Row],[Mudou?]]=1, ChartTable[[#This Row],[Valor Encerrado]]-ChartTable[[#This Row],[Valor Ativo]], "")</f>
        <v/>
      </c>
      <c r="H479" s="11" t="str">
        <f>IF(ChartTable[[#This Row],[Mudou?]]=1, IF(ChartTable[[#This Row],[Diferença]]&gt;0, "aumentou", "diminuiu"), "")</f>
        <v/>
      </c>
      <c r="I479" s="11" t="str" cm="1">
        <f t="array" ref="I479">_xlfn.IFS(ChartTable[[#This Row],[Exluido?]]=1,"Excluido",ChartTable[[#This Row],[Novo?]]=1, "Novo", ChartTable[[#This Row],[Mudou?]]=1, "Mudou")</f>
        <v>Novo</v>
      </c>
    </row>
    <row r="480" spans="1:9" x14ac:dyDescent="0.25">
      <c r="A480" t="s">
        <v>489</v>
      </c>
      <c r="B480" s="10">
        <v>11994.079563754722</v>
      </c>
      <c r="C480" s="10"/>
      <c r="D480" s="11">
        <f>IF(AND(ChartTable[[#This Row],[Valor Encerrado]]=0, ChartTable[[#This Row],[Valor Ativo]]=""), 1, 0)</f>
        <v>0</v>
      </c>
      <c r="E480" s="11">
        <f>IF(AND(ChartTable[[#This Row],[Valor Ativo]]&lt;&gt;"", ChartTable[[#This Row],[Valor Encerrado]]=""), 1, 0)</f>
        <v>1</v>
      </c>
      <c r="F480" s="11">
        <f>IF(AND(ChartTable[[#This Row],[Novo?]]=0, ChartTable[[#This Row],[Valor Ativo]]&lt;&gt;ChartTable[[#This Row],[Valor Encerrado]]), 1, 0)</f>
        <v>0</v>
      </c>
      <c r="G480" s="18" t="str">
        <f>IF(ChartTable[[#This Row],[Mudou?]]=1, ChartTable[[#This Row],[Valor Encerrado]]-ChartTable[[#This Row],[Valor Ativo]], "")</f>
        <v/>
      </c>
      <c r="H480" s="11" t="str">
        <f>IF(ChartTable[[#This Row],[Mudou?]]=1, IF(ChartTable[[#This Row],[Diferença]]&gt;0, "aumentou", "diminuiu"), "")</f>
        <v/>
      </c>
      <c r="I480" s="11" t="str" cm="1">
        <f t="array" ref="I480">_xlfn.IFS(ChartTable[[#This Row],[Exluido?]]=1,"Excluido",ChartTable[[#This Row],[Novo?]]=1, "Novo", ChartTable[[#This Row],[Mudou?]]=1, "Mudou")</f>
        <v>Novo</v>
      </c>
    </row>
    <row r="481" spans="1:9" x14ac:dyDescent="0.25">
      <c r="A481" t="s">
        <v>490</v>
      </c>
      <c r="B481" s="10">
        <v>11994.079563754722</v>
      </c>
      <c r="C481" s="10"/>
      <c r="D481" s="11">
        <f>IF(AND(ChartTable[[#This Row],[Valor Encerrado]]=0, ChartTable[[#This Row],[Valor Ativo]]=""), 1, 0)</f>
        <v>0</v>
      </c>
      <c r="E481" s="11">
        <f>IF(AND(ChartTable[[#This Row],[Valor Ativo]]&lt;&gt;"", ChartTable[[#This Row],[Valor Encerrado]]=""), 1, 0)</f>
        <v>1</v>
      </c>
      <c r="F481" s="11">
        <f>IF(AND(ChartTable[[#This Row],[Novo?]]=0, ChartTable[[#This Row],[Valor Ativo]]&lt;&gt;ChartTable[[#This Row],[Valor Encerrado]]), 1, 0)</f>
        <v>0</v>
      </c>
      <c r="G481" s="18" t="str">
        <f>IF(ChartTable[[#This Row],[Mudou?]]=1, ChartTable[[#This Row],[Valor Encerrado]]-ChartTable[[#This Row],[Valor Ativo]], "")</f>
        <v/>
      </c>
      <c r="H481" s="11" t="str">
        <f>IF(ChartTable[[#This Row],[Mudou?]]=1, IF(ChartTable[[#This Row],[Diferença]]&gt;0, "aumentou", "diminuiu"), "")</f>
        <v/>
      </c>
      <c r="I481" s="11" t="str" cm="1">
        <f t="array" ref="I481">_xlfn.IFS(ChartTable[[#This Row],[Exluido?]]=1,"Excluido",ChartTable[[#This Row],[Novo?]]=1, "Novo", ChartTable[[#This Row],[Mudou?]]=1, "Mudou")</f>
        <v>Novo</v>
      </c>
    </row>
    <row r="482" spans="1:9" x14ac:dyDescent="0.25">
      <c r="A482" t="s">
        <v>491</v>
      </c>
      <c r="B482" s="10">
        <v>11994.079563754722</v>
      </c>
      <c r="C482" s="10"/>
      <c r="D482" s="11">
        <f>IF(AND(ChartTable[[#This Row],[Valor Encerrado]]=0, ChartTable[[#This Row],[Valor Ativo]]=""), 1, 0)</f>
        <v>0</v>
      </c>
      <c r="E482" s="11">
        <f>IF(AND(ChartTable[[#This Row],[Valor Ativo]]&lt;&gt;"", ChartTable[[#This Row],[Valor Encerrado]]=""), 1, 0)</f>
        <v>1</v>
      </c>
      <c r="F482" s="11">
        <f>IF(AND(ChartTable[[#This Row],[Novo?]]=0, ChartTable[[#This Row],[Valor Ativo]]&lt;&gt;ChartTable[[#This Row],[Valor Encerrado]]), 1, 0)</f>
        <v>0</v>
      </c>
      <c r="G482" s="18" t="str">
        <f>IF(ChartTable[[#This Row],[Mudou?]]=1, ChartTable[[#This Row],[Valor Encerrado]]-ChartTable[[#This Row],[Valor Ativo]], "")</f>
        <v/>
      </c>
      <c r="H482" s="11" t="str">
        <f>IF(ChartTable[[#This Row],[Mudou?]]=1, IF(ChartTable[[#This Row],[Diferença]]&gt;0, "aumentou", "diminuiu"), "")</f>
        <v/>
      </c>
      <c r="I482" s="11" t="str" cm="1">
        <f t="array" ref="I482">_xlfn.IFS(ChartTable[[#This Row],[Exluido?]]=1,"Excluido",ChartTable[[#This Row],[Novo?]]=1, "Novo", ChartTable[[#This Row],[Mudou?]]=1, "Mudou")</f>
        <v>Novo</v>
      </c>
    </row>
    <row r="483" spans="1:9" x14ac:dyDescent="0.25">
      <c r="A483" t="s">
        <v>492</v>
      </c>
      <c r="B483" s="10">
        <v>11994.079563754722</v>
      </c>
      <c r="C483" s="10"/>
      <c r="D483" s="11">
        <f>IF(AND(ChartTable[[#This Row],[Valor Encerrado]]=0, ChartTable[[#This Row],[Valor Ativo]]=""), 1, 0)</f>
        <v>0</v>
      </c>
      <c r="E483" s="11">
        <f>IF(AND(ChartTable[[#This Row],[Valor Ativo]]&lt;&gt;"", ChartTable[[#This Row],[Valor Encerrado]]=""), 1, 0)</f>
        <v>1</v>
      </c>
      <c r="F483" s="11">
        <f>IF(AND(ChartTable[[#This Row],[Novo?]]=0, ChartTable[[#This Row],[Valor Ativo]]&lt;&gt;ChartTable[[#This Row],[Valor Encerrado]]), 1, 0)</f>
        <v>0</v>
      </c>
      <c r="G483" s="18" t="str">
        <f>IF(ChartTable[[#This Row],[Mudou?]]=1, ChartTable[[#This Row],[Valor Encerrado]]-ChartTable[[#This Row],[Valor Ativo]], "")</f>
        <v/>
      </c>
      <c r="H483" s="11" t="str">
        <f>IF(ChartTable[[#This Row],[Mudou?]]=1, IF(ChartTable[[#This Row],[Diferença]]&gt;0, "aumentou", "diminuiu"), "")</f>
        <v/>
      </c>
      <c r="I483" s="11" t="str" cm="1">
        <f t="array" ref="I483">_xlfn.IFS(ChartTable[[#This Row],[Exluido?]]=1,"Excluido",ChartTable[[#This Row],[Novo?]]=1, "Novo", ChartTable[[#This Row],[Mudou?]]=1, "Mudou")</f>
        <v>Novo</v>
      </c>
    </row>
    <row r="484" spans="1:9" x14ac:dyDescent="0.25">
      <c r="A484" t="s">
        <v>493</v>
      </c>
      <c r="B484" s="10">
        <v>11994.079563754722</v>
      </c>
      <c r="C484" s="10"/>
      <c r="D484" s="11">
        <f>IF(AND(ChartTable[[#This Row],[Valor Encerrado]]=0, ChartTable[[#This Row],[Valor Ativo]]=""), 1, 0)</f>
        <v>0</v>
      </c>
      <c r="E484" s="11">
        <f>IF(AND(ChartTable[[#This Row],[Valor Ativo]]&lt;&gt;"", ChartTable[[#This Row],[Valor Encerrado]]=""), 1, 0)</f>
        <v>1</v>
      </c>
      <c r="F484" s="11">
        <f>IF(AND(ChartTable[[#This Row],[Novo?]]=0, ChartTable[[#This Row],[Valor Ativo]]&lt;&gt;ChartTable[[#This Row],[Valor Encerrado]]), 1, 0)</f>
        <v>0</v>
      </c>
      <c r="G484" s="18" t="str">
        <f>IF(ChartTable[[#This Row],[Mudou?]]=1, ChartTable[[#This Row],[Valor Encerrado]]-ChartTable[[#This Row],[Valor Ativo]], "")</f>
        <v/>
      </c>
      <c r="H484" s="11" t="str">
        <f>IF(ChartTable[[#This Row],[Mudou?]]=1, IF(ChartTable[[#This Row],[Diferença]]&gt;0, "aumentou", "diminuiu"), "")</f>
        <v/>
      </c>
      <c r="I484" s="11" t="str" cm="1">
        <f t="array" ref="I484">_xlfn.IFS(ChartTable[[#This Row],[Exluido?]]=1,"Excluido",ChartTable[[#This Row],[Novo?]]=1, "Novo", ChartTable[[#This Row],[Mudou?]]=1, "Mudou")</f>
        <v>Novo</v>
      </c>
    </row>
    <row r="485" spans="1:9" x14ac:dyDescent="0.25">
      <c r="A485" t="s">
        <v>494</v>
      </c>
      <c r="B485" s="10">
        <v>11994.079563754722</v>
      </c>
      <c r="C485" s="10"/>
      <c r="D485" s="11">
        <f>IF(AND(ChartTable[[#This Row],[Valor Encerrado]]=0, ChartTable[[#This Row],[Valor Ativo]]=""), 1, 0)</f>
        <v>0</v>
      </c>
      <c r="E485" s="11">
        <f>IF(AND(ChartTable[[#This Row],[Valor Ativo]]&lt;&gt;"", ChartTable[[#This Row],[Valor Encerrado]]=""), 1, 0)</f>
        <v>1</v>
      </c>
      <c r="F485" s="11">
        <f>IF(AND(ChartTable[[#This Row],[Novo?]]=0, ChartTable[[#This Row],[Valor Ativo]]&lt;&gt;ChartTable[[#This Row],[Valor Encerrado]]), 1, 0)</f>
        <v>0</v>
      </c>
      <c r="G485" s="18" t="str">
        <f>IF(ChartTable[[#This Row],[Mudou?]]=1, ChartTable[[#This Row],[Valor Encerrado]]-ChartTable[[#This Row],[Valor Ativo]], "")</f>
        <v/>
      </c>
      <c r="H485" s="11" t="str">
        <f>IF(ChartTable[[#This Row],[Mudou?]]=1, IF(ChartTable[[#This Row],[Diferença]]&gt;0, "aumentou", "diminuiu"), "")</f>
        <v/>
      </c>
      <c r="I485" s="11" t="str" cm="1">
        <f t="array" ref="I485">_xlfn.IFS(ChartTable[[#This Row],[Exluido?]]=1,"Excluido",ChartTable[[#This Row],[Novo?]]=1, "Novo", ChartTable[[#This Row],[Mudou?]]=1, "Mudou")</f>
        <v>Novo</v>
      </c>
    </row>
    <row r="486" spans="1:9" x14ac:dyDescent="0.25">
      <c r="A486" t="s">
        <v>495</v>
      </c>
      <c r="B486" s="10">
        <v>11994.079563754722</v>
      </c>
      <c r="C486" s="10"/>
      <c r="D486" s="11">
        <f>IF(AND(ChartTable[[#This Row],[Valor Encerrado]]=0, ChartTable[[#This Row],[Valor Ativo]]=""), 1, 0)</f>
        <v>0</v>
      </c>
      <c r="E486" s="11">
        <f>IF(AND(ChartTable[[#This Row],[Valor Ativo]]&lt;&gt;"", ChartTable[[#This Row],[Valor Encerrado]]=""), 1, 0)</f>
        <v>1</v>
      </c>
      <c r="F486" s="11">
        <f>IF(AND(ChartTable[[#This Row],[Novo?]]=0, ChartTable[[#This Row],[Valor Ativo]]&lt;&gt;ChartTable[[#This Row],[Valor Encerrado]]), 1, 0)</f>
        <v>0</v>
      </c>
      <c r="G486" s="18" t="str">
        <f>IF(ChartTable[[#This Row],[Mudou?]]=1, ChartTable[[#This Row],[Valor Encerrado]]-ChartTable[[#This Row],[Valor Ativo]], "")</f>
        <v/>
      </c>
      <c r="H486" s="11" t="str">
        <f>IF(ChartTable[[#This Row],[Mudou?]]=1, IF(ChartTable[[#This Row],[Diferença]]&gt;0, "aumentou", "diminuiu"), "")</f>
        <v/>
      </c>
      <c r="I486" s="11" t="str" cm="1">
        <f t="array" ref="I486">_xlfn.IFS(ChartTable[[#This Row],[Exluido?]]=1,"Excluido",ChartTable[[#This Row],[Novo?]]=1, "Novo", ChartTable[[#This Row],[Mudou?]]=1, "Mudou")</f>
        <v>Novo</v>
      </c>
    </row>
    <row r="487" spans="1:9" x14ac:dyDescent="0.25">
      <c r="A487" t="s">
        <v>496</v>
      </c>
      <c r="B487" s="10">
        <v>11994.079563754722</v>
      </c>
      <c r="C487" s="10"/>
      <c r="D487" s="11">
        <f>IF(AND(ChartTable[[#This Row],[Valor Encerrado]]=0, ChartTable[[#This Row],[Valor Ativo]]=""), 1, 0)</f>
        <v>0</v>
      </c>
      <c r="E487" s="11">
        <f>IF(AND(ChartTable[[#This Row],[Valor Ativo]]&lt;&gt;"", ChartTable[[#This Row],[Valor Encerrado]]=""), 1, 0)</f>
        <v>1</v>
      </c>
      <c r="F487" s="11">
        <f>IF(AND(ChartTable[[#This Row],[Novo?]]=0, ChartTable[[#This Row],[Valor Ativo]]&lt;&gt;ChartTable[[#This Row],[Valor Encerrado]]), 1, 0)</f>
        <v>0</v>
      </c>
      <c r="G487" s="18" t="str">
        <f>IF(ChartTable[[#This Row],[Mudou?]]=1, ChartTable[[#This Row],[Valor Encerrado]]-ChartTable[[#This Row],[Valor Ativo]], "")</f>
        <v/>
      </c>
      <c r="H487" s="11" t="str">
        <f>IF(ChartTable[[#This Row],[Mudou?]]=1, IF(ChartTable[[#This Row],[Diferença]]&gt;0, "aumentou", "diminuiu"), "")</f>
        <v/>
      </c>
      <c r="I487" s="11" t="str" cm="1">
        <f t="array" ref="I487">_xlfn.IFS(ChartTable[[#This Row],[Exluido?]]=1,"Excluido",ChartTable[[#This Row],[Novo?]]=1, "Novo", ChartTable[[#This Row],[Mudou?]]=1, "Mudou")</f>
        <v>Novo</v>
      </c>
    </row>
    <row r="488" spans="1:9" x14ac:dyDescent="0.25">
      <c r="A488" t="s">
        <v>497</v>
      </c>
      <c r="B488" s="10">
        <v>11994.079563754722</v>
      </c>
      <c r="C488" s="10"/>
      <c r="D488" s="11">
        <f>IF(AND(ChartTable[[#This Row],[Valor Encerrado]]=0, ChartTable[[#This Row],[Valor Ativo]]=""), 1, 0)</f>
        <v>0</v>
      </c>
      <c r="E488" s="11">
        <f>IF(AND(ChartTable[[#This Row],[Valor Ativo]]&lt;&gt;"", ChartTable[[#This Row],[Valor Encerrado]]=""), 1, 0)</f>
        <v>1</v>
      </c>
      <c r="F488" s="11">
        <f>IF(AND(ChartTable[[#This Row],[Novo?]]=0, ChartTable[[#This Row],[Valor Ativo]]&lt;&gt;ChartTable[[#This Row],[Valor Encerrado]]), 1, 0)</f>
        <v>0</v>
      </c>
      <c r="G488" s="18" t="str">
        <f>IF(ChartTable[[#This Row],[Mudou?]]=1, ChartTable[[#This Row],[Valor Encerrado]]-ChartTable[[#This Row],[Valor Ativo]], "")</f>
        <v/>
      </c>
      <c r="H488" s="11" t="str">
        <f>IF(ChartTable[[#This Row],[Mudou?]]=1, IF(ChartTable[[#This Row],[Diferença]]&gt;0, "aumentou", "diminuiu"), "")</f>
        <v/>
      </c>
      <c r="I488" s="11" t="str" cm="1">
        <f t="array" ref="I488">_xlfn.IFS(ChartTable[[#This Row],[Exluido?]]=1,"Excluido",ChartTable[[#This Row],[Novo?]]=1, "Novo", ChartTable[[#This Row],[Mudou?]]=1, "Mudou")</f>
        <v>Novo</v>
      </c>
    </row>
    <row r="489" spans="1:9" x14ac:dyDescent="0.25">
      <c r="A489" t="s">
        <v>498</v>
      </c>
      <c r="B489" s="10">
        <v>11994.079563754722</v>
      </c>
      <c r="C489" s="10"/>
      <c r="D489" s="11">
        <f>IF(AND(ChartTable[[#This Row],[Valor Encerrado]]=0, ChartTable[[#This Row],[Valor Ativo]]=""), 1, 0)</f>
        <v>0</v>
      </c>
      <c r="E489" s="11">
        <f>IF(AND(ChartTable[[#This Row],[Valor Ativo]]&lt;&gt;"", ChartTable[[#This Row],[Valor Encerrado]]=""), 1, 0)</f>
        <v>1</v>
      </c>
      <c r="F489" s="11">
        <f>IF(AND(ChartTable[[#This Row],[Novo?]]=0, ChartTable[[#This Row],[Valor Ativo]]&lt;&gt;ChartTable[[#This Row],[Valor Encerrado]]), 1, 0)</f>
        <v>0</v>
      </c>
      <c r="G489" s="18" t="str">
        <f>IF(ChartTable[[#This Row],[Mudou?]]=1, ChartTable[[#This Row],[Valor Encerrado]]-ChartTable[[#This Row],[Valor Ativo]], "")</f>
        <v/>
      </c>
      <c r="H489" s="11" t="str">
        <f>IF(ChartTable[[#This Row],[Mudou?]]=1, IF(ChartTable[[#This Row],[Diferença]]&gt;0, "aumentou", "diminuiu"), "")</f>
        <v/>
      </c>
      <c r="I489" s="11" t="str" cm="1">
        <f t="array" ref="I489">_xlfn.IFS(ChartTable[[#This Row],[Exluido?]]=1,"Excluido",ChartTable[[#This Row],[Novo?]]=1, "Novo", ChartTable[[#This Row],[Mudou?]]=1, "Mudou")</f>
        <v>Novo</v>
      </c>
    </row>
    <row r="490" spans="1:9" x14ac:dyDescent="0.25">
      <c r="A490" t="s">
        <v>499</v>
      </c>
      <c r="B490" s="10">
        <v>11994.079563754722</v>
      </c>
      <c r="C490" s="10"/>
      <c r="D490" s="11">
        <f>IF(AND(ChartTable[[#This Row],[Valor Encerrado]]=0, ChartTable[[#This Row],[Valor Ativo]]=""), 1, 0)</f>
        <v>0</v>
      </c>
      <c r="E490" s="11">
        <f>IF(AND(ChartTable[[#This Row],[Valor Ativo]]&lt;&gt;"", ChartTable[[#This Row],[Valor Encerrado]]=""), 1, 0)</f>
        <v>1</v>
      </c>
      <c r="F490" s="11">
        <f>IF(AND(ChartTable[[#This Row],[Novo?]]=0, ChartTable[[#This Row],[Valor Ativo]]&lt;&gt;ChartTable[[#This Row],[Valor Encerrado]]), 1, 0)</f>
        <v>0</v>
      </c>
      <c r="G490" s="18" t="str">
        <f>IF(ChartTable[[#This Row],[Mudou?]]=1, ChartTable[[#This Row],[Valor Encerrado]]-ChartTable[[#This Row],[Valor Ativo]], "")</f>
        <v/>
      </c>
      <c r="H490" s="11" t="str">
        <f>IF(ChartTable[[#This Row],[Mudou?]]=1, IF(ChartTable[[#This Row],[Diferença]]&gt;0, "aumentou", "diminuiu"), "")</f>
        <v/>
      </c>
      <c r="I490" s="11" t="str" cm="1">
        <f t="array" ref="I490">_xlfn.IFS(ChartTable[[#This Row],[Exluido?]]=1,"Excluido",ChartTable[[#This Row],[Novo?]]=1, "Novo", ChartTable[[#This Row],[Mudou?]]=1, "Mudou")</f>
        <v>Novo</v>
      </c>
    </row>
    <row r="491" spans="1:9" x14ac:dyDescent="0.25">
      <c r="A491" t="s">
        <v>500</v>
      </c>
      <c r="B491" s="10">
        <v>11994.079563754722</v>
      </c>
      <c r="C491" s="10"/>
      <c r="D491" s="11">
        <f>IF(AND(ChartTable[[#This Row],[Valor Encerrado]]=0, ChartTable[[#This Row],[Valor Ativo]]=""), 1, 0)</f>
        <v>0</v>
      </c>
      <c r="E491" s="11">
        <f>IF(AND(ChartTable[[#This Row],[Valor Ativo]]&lt;&gt;"", ChartTable[[#This Row],[Valor Encerrado]]=""), 1, 0)</f>
        <v>1</v>
      </c>
      <c r="F491" s="11">
        <f>IF(AND(ChartTable[[#This Row],[Novo?]]=0, ChartTable[[#This Row],[Valor Ativo]]&lt;&gt;ChartTable[[#This Row],[Valor Encerrado]]), 1, 0)</f>
        <v>0</v>
      </c>
      <c r="G491" s="18" t="str">
        <f>IF(ChartTable[[#This Row],[Mudou?]]=1, ChartTable[[#This Row],[Valor Encerrado]]-ChartTable[[#This Row],[Valor Ativo]], "")</f>
        <v/>
      </c>
      <c r="H491" s="11" t="str">
        <f>IF(ChartTable[[#This Row],[Mudou?]]=1, IF(ChartTable[[#This Row],[Diferença]]&gt;0, "aumentou", "diminuiu"), "")</f>
        <v/>
      </c>
      <c r="I491" s="11" t="str" cm="1">
        <f t="array" ref="I491">_xlfn.IFS(ChartTable[[#This Row],[Exluido?]]=1,"Excluido",ChartTable[[#This Row],[Novo?]]=1, "Novo", ChartTable[[#This Row],[Mudou?]]=1, "Mudou")</f>
        <v>Novo</v>
      </c>
    </row>
    <row r="492" spans="1:9" x14ac:dyDescent="0.25">
      <c r="A492" t="s">
        <v>501</v>
      </c>
      <c r="B492" s="10">
        <v>11994.079563754722</v>
      </c>
      <c r="C492" s="10"/>
      <c r="D492" s="11">
        <f>IF(AND(ChartTable[[#This Row],[Valor Encerrado]]=0, ChartTable[[#This Row],[Valor Ativo]]=""), 1, 0)</f>
        <v>0</v>
      </c>
      <c r="E492" s="11">
        <f>IF(AND(ChartTable[[#This Row],[Valor Ativo]]&lt;&gt;"", ChartTable[[#This Row],[Valor Encerrado]]=""), 1, 0)</f>
        <v>1</v>
      </c>
      <c r="F492" s="11">
        <f>IF(AND(ChartTable[[#This Row],[Novo?]]=0, ChartTable[[#This Row],[Valor Ativo]]&lt;&gt;ChartTable[[#This Row],[Valor Encerrado]]), 1, 0)</f>
        <v>0</v>
      </c>
      <c r="G492" s="18" t="str">
        <f>IF(ChartTable[[#This Row],[Mudou?]]=1, ChartTable[[#This Row],[Valor Encerrado]]-ChartTable[[#This Row],[Valor Ativo]], "")</f>
        <v/>
      </c>
      <c r="H492" s="11" t="str">
        <f>IF(ChartTable[[#This Row],[Mudou?]]=1, IF(ChartTable[[#This Row],[Diferença]]&gt;0, "aumentou", "diminuiu"), "")</f>
        <v/>
      </c>
      <c r="I492" s="11" t="str" cm="1">
        <f t="array" ref="I492">_xlfn.IFS(ChartTable[[#This Row],[Exluido?]]=1,"Excluido",ChartTable[[#This Row],[Novo?]]=1, "Novo", ChartTable[[#This Row],[Mudou?]]=1, "Mudou")</f>
        <v>Novo</v>
      </c>
    </row>
    <row r="493" spans="1:9" x14ac:dyDescent="0.25">
      <c r="A493" t="s">
        <v>502</v>
      </c>
      <c r="B493" s="10">
        <v>11994.079563754722</v>
      </c>
      <c r="C493" s="10"/>
      <c r="D493" s="11">
        <f>IF(AND(ChartTable[[#This Row],[Valor Encerrado]]=0, ChartTable[[#This Row],[Valor Ativo]]=""), 1, 0)</f>
        <v>0</v>
      </c>
      <c r="E493" s="11">
        <f>IF(AND(ChartTable[[#This Row],[Valor Ativo]]&lt;&gt;"", ChartTable[[#This Row],[Valor Encerrado]]=""), 1, 0)</f>
        <v>1</v>
      </c>
      <c r="F493" s="11">
        <f>IF(AND(ChartTable[[#This Row],[Novo?]]=0, ChartTable[[#This Row],[Valor Ativo]]&lt;&gt;ChartTable[[#This Row],[Valor Encerrado]]), 1, 0)</f>
        <v>0</v>
      </c>
      <c r="G493" s="18" t="str">
        <f>IF(ChartTable[[#This Row],[Mudou?]]=1, ChartTable[[#This Row],[Valor Encerrado]]-ChartTable[[#This Row],[Valor Ativo]], "")</f>
        <v/>
      </c>
      <c r="H493" s="11" t="str">
        <f>IF(ChartTable[[#This Row],[Mudou?]]=1, IF(ChartTable[[#This Row],[Diferença]]&gt;0, "aumentou", "diminuiu"), "")</f>
        <v/>
      </c>
      <c r="I493" s="11" t="str" cm="1">
        <f t="array" ref="I493">_xlfn.IFS(ChartTable[[#This Row],[Exluido?]]=1,"Excluido",ChartTable[[#This Row],[Novo?]]=1, "Novo", ChartTable[[#This Row],[Mudou?]]=1, "Mudou")</f>
        <v>Novo</v>
      </c>
    </row>
    <row r="494" spans="1:9" x14ac:dyDescent="0.25">
      <c r="A494" t="s">
        <v>503</v>
      </c>
      <c r="B494" s="10">
        <v>11994.079563754722</v>
      </c>
      <c r="C494" s="10"/>
      <c r="D494" s="11">
        <f>IF(AND(ChartTable[[#This Row],[Valor Encerrado]]=0, ChartTable[[#This Row],[Valor Ativo]]=""), 1, 0)</f>
        <v>0</v>
      </c>
      <c r="E494" s="11">
        <f>IF(AND(ChartTable[[#This Row],[Valor Ativo]]&lt;&gt;"", ChartTable[[#This Row],[Valor Encerrado]]=""), 1, 0)</f>
        <v>1</v>
      </c>
      <c r="F494" s="11">
        <f>IF(AND(ChartTable[[#This Row],[Novo?]]=0, ChartTable[[#This Row],[Valor Ativo]]&lt;&gt;ChartTable[[#This Row],[Valor Encerrado]]), 1, 0)</f>
        <v>0</v>
      </c>
      <c r="G494" s="18" t="str">
        <f>IF(ChartTable[[#This Row],[Mudou?]]=1, ChartTable[[#This Row],[Valor Encerrado]]-ChartTable[[#This Row],[Valor Ativo]], "")</f>
        <v/>
      </c>
      <c r="H494" s="11" t="str">
        <f>IF(ChartTable[[#This Row],[Mudou?]]=1, IF(ChartTable[[#This Row],[Diferença]]&gt;0, "aumentou", "diminuiu"), "")</f>
        <v/>
      </c>
      <c r="I494" s="11" t="str" cm="1">
        <f t="array" ref="I494">_xlfn.IFS(ChartTable[[#This Row],[Exluido?]]=1,"Excluido",ChartTable[[#This Row],[Novo?]]=1, "Novo", ChartTable[[#This Row],[Mudou?]]=1, "Mudou")</f>
        <v>Novo</v>
      </c>
    </row>
    <row r="495" spans="1:9" x14ac:dyDescent="0.25">
      <c r="A495" t="s">
        <v>504</v>
      </c>
      <c r="B495" s="10">
        <v>11994.079563754722</v>
      </c>
      <c r="C495" s="10"/>
      <c r="D495" s="11">
        <f>IF(AND(ChartTable[[#This Row],[Valor Encerrado]]=0, ChartTable[[#This Row],[Valor Ativo]]=""), 1, 0)</f>
        <v>0</v>
      </c>
      <c r="E495" s="11">
        <f>IF(AND(ChartTable[[#This Row],[Valor Ativo]]&lt;&gt;"", ChartTable[[#This Row],[Valor Encerrado]]=""), 1, 0)</f>
        <v>1</v>
      </c>
      <c r="F495" s="11">
        <f>IF(AND(ChartTable[[#This Row],[Novo?]]=0, ChartTable[[#This Row],[Valor Ativo]]&lt;&gt;ChartTable[[#This Row],[Valor Encerrado]]), 1, 0)</f>
        <v>0</v>
      </c>
      <c r="G495" s="18" t="str">
        <f>IF(ChartTable[[#This Row],[Mudou?]]=1, ChartTable[[#This Row],[Valor Encerrado]]-ChartTable[[#This Row],[Valor Ativo]], "")</f>
        <v/>
      </c>
      <c r="H495" s="11" t="str">
        <f>IF(ChartTable[[#This Row],[Mudou?]]=1, IF(ChartTable[[#This Row],[Diferença]]&gt;0, "aumentou", "diminuiu"), "")</f>
        <v/>
      </c>
      <c r="I495" s="11" t="str" cm="1">
        <f t="array" ref="I495">_xlfn.IFS(ChartTable[[#This Row],[Exluido?]]=1,"Excluido",ChartTable[[#This Row],[Novo?]]=1, "Novo", ChartTable[[#This Row],[Mudou?]]=1, "Mudou")</f>
        <v>Novo</v>
      </c>
    </row>
    <row r="496" spans="1:9" x14ac:dyDescent="0.25">
      <c r="A496" t="s">
        <v>505</v>
      </c>
      <c r="B496" s="10">
        <v>11994.079563754722</v>
      </c>
      <c r="C496" s="10"/>
      <c r="D496" s="11">
        <f>IF(AND(ChartTable[[#This Row],[Valor Encerrado]]=0, ChartTable[[#This Row],[Valor Ativo]]=""), 1, 0)</f>
        <v>0</v>
      </c>
      <c r="E496" s="11">
        <f>IF(AND(ChartTable[[#This Row],[Valor Ativo]]&lt;&gt;"", ChartTable[[#This Row],[Valor Encerrado]]=""), 1, 0)</f>
        <v>1</v>
      </c>
      <c r="F496" s="11">
        <f>IF(AND(ChartTable[[#This Row],[Novo?]]=0, ChartTable[[#This Row],[Valor Ativo]]&lt;&gt;ChartTable[[#This Row],[Valor Encerrado]]), 1, 0)</f>
        <v>0</v>
      </c>
      <c r="G496" s="18" t="str">
        <f>IF(ChartTable[[#This Row],[Mudou?]]=1, ChartTable[[#This Row],[Valor Encerrado]]-ChartTable[[#This Row],[Valor Ativo]], "")</f>
        <v/>
      </c>
      <c r="H496" s="11" t="str">
        <f>IF(ChartTable[[#This Row],[Mudou?]]=1, IF(ChartTable[[#This Row],[Diferença]]&gt;0, "aumentou", "diminuiu"), "")</f>
        <v/>
      </c>
      <c r="I496" s="11" t="str" cm="1">
        <f t="array" ref="I496">_xlfn.IFS(ChartTable[[#This Row],[Exluido?]]=1,"Excluido",ChartTable[[#This Row],[Novo?]]=1, "Novo", ChartTable[[#This Row],[Mudou?]]=1, "Mudou")</f>
        <v>Novo</v>
      </c>
    </row>
    <row r="497" spans="1:9" x14ac:dyDescent="0.25">
      <c r="A497" t="s">
        <v>506</v>
      </c>
      <c r="B497" s="10">
        <v>11994.079563754722</v>
      </c>
      <c r="C497" s="10"/>
      <c r="D497" s="11">
        <f>IF(AND(ChartTable[[#This Row],[Valor Encerrado]]=0, ChartTable[[#This Row],[Valor Ativo]]=""), 1, 0)</f>
        <v>0</v>
      </c>
      <c r="E497" s="11">
        <f>IF(AND(ChartTable[[#This Row],[Valor Ativo]]&lt;&gt;"", ChartTable[[#This Row],[Valor Encerrado]]=""), 1, 0)</f>
        <v>1</v>
      </c>
      <c r="F497" s="11">
        <f>IF(AND(ChartTable[[#This Row],[Novo?]]=0, ChartTable[[#This Row],[Valor Ativo]]&lt;&gt;ChartTable[[#This Row],[Valor Encerrado]]), 1, 0)</f>
        <v>0</v>
      </c>
      <c r="G497" s="18" t="str">
        <f>IF(ChartTable[[#This Row],[Mudou?]]=1, ChartTable[[#This Row],[Valor Encerrado]]-ChartTable[[#This Row],[Valor Ativo]], "")</f>
        <v/>
      </c>
      <c r="H497" s="11" t="str">
        <f>IF(ChartTable[[#This Row],[Mudou?]]=1, IF(ChartTable[[#This Row],[Diferença]]&gt;0, "aumentou", "diminuiu"), "")</f>
        <v/>
      </c>
      <c r="I497" s="11" t="str" cm="1">
        <f t="array" ref="I497">_xlfn.IFS(ChartTable[[#This Row],[Exluido?]]=1,"Excluido",ChartTable[[#This Row],[Novo?]]=1, "Novo", ChartTable[[#This Row],[Mudou?]]=1, "Mudou")</f>
        <v>Novo</v>
      </c>
    </row>
    <row r="498" spans="1:9" x14ac:dyDescent="0.25">
      <c r="A498" t="s">
        <v>507</v>
      </c>
      <c r="B498" s="10">
        <v>11994.079563754722</v>
      </c>
      <c r="C498" s="10"/>
      <c r="D498" s="11">
        <f>IF(AND(ChartTable[[#This Row],[Valor Encerrado]]=0, ChartTable[[#This Row],[Valor Ativo]]=""), 1, 0)</f>
        <v>0</v>
      </c>
      <c r="E498" s="11">
        <f>IF(AND(ChartTable[[#This Row],[Valor Ativo]]&lt;&gt;"", ChartTable[[#This Row],[Valor Encerrado]]=""), 1, 0)</f>
        <v>1</v>
      </c>
      <c r="F498" s="11">
        <f>IF(AND(ChartTable[[#This Row],[Novo?]]=0, ChartTable[[#This Row],[Valor Ativo]]&lt;&gt;ChartTable[[#This Row],[Valor Encerrado]]), 1, 0)</f>
        <v>0</v>
      </c>
      <c r="G498" s="18" t="str">
        <f>IF(ChartTable[[#This Row],[Mudou?]]=1, ChartTable[[#This Row],[Valor Encerrado]]-ChartTable[[#This Row],[Valor Ativo]], "")</f>
        <v/>
      </c>
      <c r="H498" s="11" t="str">
        <f>IF(ChartTable[[#This Row],[Mudou?]]=1, IF(ChartTable[[#This Row],[Diferença]]&gt;0, "aumentou", "diminuiu"), "")</f>
        <v/>
      </c>
      <c r="I498" s="11" t="str" cm="1">
        <f t="array" ref="I498">_xlfn.IFS(ChartTable[[#This Row],[Exluido?]]=1,"Excluido",ChartTable[[#This Row],[Novo?]]=1, "Novo", ChartTable[[#This Row],[Mudou?]]=1, "Mudou")</f>
        <v>Novo</v>
      </c>
    </row>
    <row r="499" spans="1:9" x14ac:dyDescent="0.25">
      <c r="A499" t="s">
        <v>508</v>
      </c>
      <c r="B499" s="10">
        <v>11994.079563754722</v>
      </c>
      <c r="C499" s="10"/>
      <c r="D499" s="11">
        <f>IF(AND(ChartTable[[#This Row],[Valor Encerrado]]=0, ChartTable[[#This Row],[Valor Ativo]]=""), 1, 0)</f>
        <v>0</v>
      </c>
      <c r="E499" s="11">
        <f>IF(AND(ChartTable[[#This Row],[Valor Ativo]]&lt;&gt;"", ChartTable[[#This Row],[Valor Encerrado]]=""), 1, 0)</f>
        <v>1</v>
      </c>
      <c r="F499" s="11">
        <f>IF(AND(ChartTable[[#This Row],[Novo?]]=0, ChartTable[[#This Row],[Valor Ativo]]&lt;&gt;ChartTable[[#This Row],[Valor Encerrado]]), 1, 0)</f>
        <v>0</v>
      </c>
      <c r="G499" s="18" t="str">
        <f>IF(ChartTable[[#This Row],[Mudou?]]=1, ChartTable[[#This Row],[Valor Encerrado]]-ChartTable[[#This Row],[Valor Ativo]], "")</f>
        <v/>
      </c>
      <c r="H499" s="11" t="str">
        <f>IF(ChartTable[[#This Row],[Mudou?]]=1, IF(ChartTable[[#This Row],[Diferença]]&gt;0, "aumentou", "diminuiu"), "")</f>
        <v/>
      </c>
      <c r="I499" s="11" t="str" cm="1">
        <f t="array" ref="I499">_xlfn.IFS(ChartTable[[#This Row],[Exluido?]]=1,"Excluido",ChartTable[[#This Row],[Novo?]]=1, "Novo", ChartTable[[#This Row],[Mudou?]]=1, "Mudou")</f>
        <v>Novo</v>
      </c>
    </row>
    <row r="500" spans="1:9" x14ac:dyDescent="0.25">
      <c r="A500" t="s">
        <v>509</v>
      </c>
      <c r="B500" s="10">
        <v>11994.079563754722</v>
      </c>
      <c r="C500" s="10"/>
      <c r="D500" s="11">
        <f>IF(AND(ChartTable[[#This Row],[Valor Encerrado]]=0, ChartTable[[#This Row],[Valor Ativo]]=""), 1, 0)</f>
        <v>0</v>
      </c>
      <c r="E500" s="11">
        <f>IF(AND(ChartTable[[#This Row],[Valor Ativo]]&lt;&gt;"", ChartTable[[#This Row],[Valor Encerrado]]=""), 1, 0)</f>
        <v>1</v>
      </c>
      <c r="F500" s="11">
        <f>IF(AND(ChartTable[[#This Row],[Novo?]]=0, ChartTable[[#This Row],[Valor Ativo]]&lt;&gt;ChartTable[[#This Row],[Valor Encerrado]]), 1, 0)</f>
        <v>0</v>
      </c>
      <c r="G500" s="18" t="str">
        <f>IF(ChartTable[[#This Row],[Mudou?]]=1, ChartTable[[#This Row],[Valor Encerrado]]-ChartTable[[#This Row],[Valor Ativo]], "")</f>
        <v/>
      </c>
      <c r="H500" s="11" t="str">
        <f>IF(ChartTable[[#This Row],[Mudou?]]=1, IF(ChartTable[[#This Row],[Diferença]]&gt;0, "aumentou", "diminuiu"), "")</f>
        <v/>
      </c>
      <c r="I500" s="11" t="str" cm="1">
        <f t="array" ref="I500">_xlfn.IFS(ChartTable[[#This Row],[Exluido?]]=1,"Excluido",ChartTable[[#This Row],[Novo?]]=1, "Novo", ChartTable[[#This Row],[Mudou?]]=1, "Mudou")</f>
        <v>Novo</v>
      </c>
    </row>
    <row r="501" spans="1:9" x14ac:dyDescent="0.25">
      <c r="A501" t="s">
        <v>510</v>
      </c>
      <c r="B501" s="10">
        <v>11994.079563754722</v>
      </c>
      <c r="C501" s="10"/>
      <c r="D501" s="11">
        <f>IF(AND(ChartTable[[#This Row],[Valor Encerrado]]=0, ChartTable[[#This Row],[Valor Ativo]]=""), 1, 0)</f>
        <v>0</v>
      </c>
      <c r="E501" s="11">
        <f>IF(AND(ChartTable[[#This Row],[Valor Ativo]]&lt;&gt;"", ChartTable[[#This Row],[Valor Encerrado]]=""), 1, 0)</f>
        <v>1</v>
      </c>
      <c r="F501" s="11">
        <f>IF(AND(ChartTable[[#This Row],[Novo?]]=0, ChartTable[[#This Row],[Valor Ativo]]&lt;&gt;ChartTable[[#This Row],[Valor Encerrado]]), 1, 0)</f>
        <v>0</v>
      </c>
      <c r="G501" s="18" t="str">
        <f>IF(ChartTable[[#This Row],[Mudou?]]=1, ChartTable[[#This Row],[Valor Encerrado]]-ChartTable[[#This Row],[Valor Ativo]], "")</f>
        <v/>
      </c>
      <c r="H501" s="11" t="str">
        <f>IF(ChartTable[[#This Row],[Mudou?]]=1, IF(ChartTable[[#This Row],[Diferença]]&gt;0, "aumentou", "diminuiu"), "")</f>
        <v/>
      </c>
      <c r="I501" s="11" t="str" cm="1">
        <f t="array" ref="I501">_xlfn.IFS(ChartTable[[#This Row],[Exluido?]]=1,"Excluido",ChartTable[[#This Row],[Novo?]]=1, "Novo", ChartTable[[#This Row],[Mudou?]]=1, "Mudou")</f>
        <v>Novo</v>
      </c>
    </row>
    <row r="502" spans="1:9" x14ac:dyDescent="0.25">
      <c r="A502" t="s">
        <v>511</v>
      </c>
      <c r="B502" s="10">
        <v>11994.079563754722</v>
      </c>
      <c r="C502" s="10"/>
      <c r="D502" s="11">
        <f>IF(AND(ChartTable[[#This Row],[Valor Encerrado]]=0, ChartTable[[#This Row],[Valor Ativo]]=""), 1, 0)</f>
        <v>0</v>
      </c>
      <c r="E502" s="11">
        <f>IF(AND(ChartTable[[#This Row],[Valor Ativo]]&lt;&gt;"", ChartTable[[#This Row],[Valor Encerrado]]=""), 1, 0)</f>
        <v>1</v>
      </c>
      <c r="F502" s="11">
        <f>IF(AND(ChartTable[[#This Row],[Novo?]]=0, ChartTable[[#This Row],[Valor Ativo]]&lt;&gt;ChartTable[[#This Row],[Valor Encerrado]]), 1, 0)</f>
        <v>0</v>
      </c>
      <c r="G502" s="18" t="str">
        <f>IF(ChartTable[[#This Row],[Mudou?]]=1, ChartTable[[#This Row],[Valor Encerrado]]-ChartTable[[#This Row],[Valor Ativo]], "")</f>
        <v/>
      </c>
      <c r="H502" s="11" t="str">
        <f>IF(ChartTable[[#This Row],[Mudou?]]=1, IF(ChartTable[[#This Row],[Diferença]]&gt;0, "aumentou", "diminuiu"), "")</f>
        <v/>
      </c>
      <c r="I502" s="11" t="str" cm="1">
        <f t="array" ref="I502">_xlfn.IFS(ChartTable[[#This Row],[Exluido?]]=1,"Excluido",ChartTable[[#This Row],[Novo?]]=1, "Novo", ChartTable[[#This Row],[Mudou?]]=1, "Mudou")</f>
        <v>Novo</v>
      </c>
    </row>
    <row r="503" spans="1:9" x14ac:dyDescent="0.25">
      <c r="A503" t="s">
        <v>512</v>
      </c>
      <c r="B503" s="10">
        <v>11994.079563754722</v>
      </c>
      <c r="C503" s="10"/>
      <c r="D503" s="11">
        <f>IF(AND(ChartTable[[#This Row],[Valor Encerrado]]=0, ChartTable[[#This Row],[Valor Ativo]]=""), 1, 0)</f>
        <v>0</v>
      </c>
      <c r="E503" s="11">
        <f>IF(AND(ChartTable[[#This Row],[Valor Ativo]]&lt;&gt;"", ChartTable[[#This Row],[Valor Encerrado]]=""), 1, 0)</f>
        <v>1</v>
      </c>
      <c r="F503" s="11">
        <f>IF(AND(ChartTable[[#This Row],[Novo?]]=0, ChartTable[[#This Row],[Valor Ativo]]&lt;&gt;ChartTable[[#This Row],[Valor Encerrado]]), 1, 0)</f>
        <v>0</v>
      </c>
      <c r="G503" s="18" t="str">
        <f>IF(ChartTable[[#This Row],[Mudou?]]=1, ChartTable[[#This Row],[Valor Encerrado]]-ChartTable[[#This Row],[Valor Ativo]], "")</f>
        <v/>
      </c>
      <c r="H503" s="11" t="str">
        <f>IF(ChartTable[[#This Row],[Mudou?]]=1, IF(ChartTable[[#This Row],[Diferença]]&gt;0, "aumentou", "diminuiu"), "")</f>
        <v/>
      </c>
      <c r="I503" s="11" t="str" cm="1">
        <f t="array" ref="I503">_xlfn.IFS(ChartTable[[#This Row],[Exluido?]]=1,"Excluido",ChartTable[[#This Row],[Novo?]]=1, "Novo", ChartTable[[#This Row],[Mudou?]]=1, "Mudou")</f>
        <v>Novo</v>
      </c>
    </row>
    <row r="504" spans="1:9" x14ac:dyDescent="0.25">
      <c r="A504" t="s">
        <v>513</v>
      </c>
      <c r="B504" s="10">
        <v>11994.079563754722</v>
      </c>
      <c r="C504" s="10"/>
      <c r="D504" s="11">
        <f>IF(AND(ChartTable[[#This Row],[Valor Encerrado]]=0, ChartTable[[#This Row],[Valor Ativo]]=""), 1, 0)</f>
        <v>0</v>
      </c>
      <c r="E504" s="11">
        <f>IF(AND(ChartTable[[#This Row],[Valor Ativo]]&lt;&gt;"", ChartTable[[#This Row],[Valor Encerrado]]=""), 1, 0)</f>
        <v>1</v>
      </c>
      <c r="F504" s="11">
        <f>IF(AND(ChartTable[[#This Row],[Novo?]]=0, ChartTable[[#This Row],[Valor Ativo]]&lt;&gt;ChartTable[[#This Row],[Valor Encerrado]]), 1, 0)</f>
        <v>0</v>
      </c>
      <c r="G504" s="18" t="str">
        <f>IF(ChartTable[[#This Row],[Mudou?]]=1, ChartTable[[#This Row],[Valor Encerrado]]-ChartTable[[#This Row],[Valor Ativo]], "")</f>
        <v/>
      </c>
      <c r="H504" s="11" t="str">
        <f>IF(ChartTable[[#This Row],[Mudou?]]=1, IF(ChartTable[[#This Row],[Diferença]]&gt;0, "aumentou", "diminuiu"), "")</f>
        <v/>
      </c>
      <c r="I504" s="11" t="str" cm="1">
        <f t="array" ref="I504">_xlfn.IFS(ChartTable[[#This Row],[Exluido?]]=1,"Excluido",ChartTable[[#This Row],[Novo?]]=1, "Novo", ChartTable[[#This Row],[Mudou?]]=1, "Mudou")</f>
        <v>Novo</v>
      </c>
    </row>
    <row r="505" spans="1:9" x14ac:dyDescent="0.25">
      <c r="A505" t="s">
        <v>514</v>
      </c>
      <c r="B505" s="10">
        <v>11994.079563754722</v>
      </c>
      <c r="C505" s="10"/>
      <c r="D505" s="11">
        <f>IF(AND(ChartTable[[#This Row],[Valor Encerrado]]=0, ChartTable[[#This Row],[Valor Ativo]]=""), 1, 0)</f>
        <v>0</v>
      </c>
      <c r="E505" s="11">
        <f>IF(AND(ChartTable[[#This Row],[Valor Ativo]]&lt;&gt;"", ChartTable[[#This Row],[Valor Encerrado]]=""), 1, 0)</f>
        <v>1</v>
      </c>
      <c r="F505" s="11">
        <f>IF(AND(ChartTable[[#This Row],[Novo?]]=0, ChartTable[[#This Row],[Valor Ativo]]&lt;&gt;ChartTable[[#This Row],[Valor Encerrado]]), 1, 0)</f>
        <v>0</v>
      </c>
      <c r="G505" s="18" t="str">
        <f>IF(ChartTable[[#This Row],[Mudou?]]=1, ChartTable[[#This Row],[Valor Encerrado]]-ChartTable[[#This Row],[Valor Ativo]], "")</f>
        <v/>
      </c>
      <c r="H505" s="11" t="str">
        <f>IF(ChartTable[[#This Row],[Mudou?]]=1, IF(ChartTable[[#This Row],[Diferença]]&gt;0, "aumentou", "diminuiu"), "")</f>
        <v/>
      </c>
      <c r="I505" s="11" t="str" cm="1">
        <f t="array" ref="I505">_xlfn.IFS(ChartTable[[#This Row],[Exluido?]]=1,"Excluido",ChartTable[[#This Row],[Novo?]]=1, "Novo", ChartTable[[#This Row],[Mudou?]]=1, "Mudou")</f>
        <v>Novo</v>
      </c>
    </row>
    <row r="506" spans="1:9" x14ac:dyDescent="0.25">
      <c r="A506" t="s">
        <v>515</v>
      </c>
      <c r="B506" s="10">
        <v>11994.079563754722</v>
      </c>
      <c r="C506" s="10"/>
      <c r="D506" s="11">
        <f>IF(AND(ChartTable[[#This Row],[Valor Encerrado]]=0, ChartTable[[#This Row],[Valor Ativo]]=""), 1, 0)</f>
        <v>0</v>
      </c>
      <c r="E506" s="11">
        <f>IF(AND(ChartTable[[#This Row],[Valor Ativo]]&lt;&gt;"", ChartTable[[#This Row],[Valor Encerrado]]=""), 1, 0)</f>
        <v>1</v>
      </c>
      <c r="F506" s="11">
        <f>IF(AND(ChartTable[[#This Row],[Novo?]]=0, ChartTable[[#This Row],[Valor Ativo]]&lt;&gt;ChartTable[[#This Row],[Valor Encerrado]]), 1, 0)</f>
        <v>0</v>
      </c>
      <c r="G506" s="18" t="str">
        <f>IF(ChartTable[[#This Row],[Mudou?]]=1, ChartTable[[#This Row],[Valor Encerrado]]-ChartTable[[#This Row],[Valor Ativo]], "")</f>
        <v/>
      </c>
      <c r="H506" s="11" t="str">
        <f>IF(ChartTable[[#This Row],[Mudou?]]=1, IF(ChartTable[[#This Row],[Diferença]]&gt;0, "aumentou", "diminuiu"), "")</f>
        <v/>
      </c>
      <c r="I506" s="11" t="str" cm="1">
        <f t="array" ref="I506">_xlfn.IFS(ChartTable[[#This Row],[Exluido?]]=1,"Excluido",ChartTable[[#This Row],[Novo?]]=1, "Novo", ChartTable[[#This Row],[Mudou?]]=1, "Mudou")</f>
        <v>Novo</v>
      </c>
    </row>
    <row r="507" spans="1:9" x14ac:dyDescent="0.25">
      <c r="A507" t="s">
        <v>516</v>
      </c>
      <c r="B507" s="10">
        <v>11994.079563754722</v>
      </c>
      <c r="C507" s="10"/>
      <c r="D507" s="11">
        <f>IF(AND(ChartTable[[#This Row],[Valor Encerrado]]=0, ChartTable[[#This Row],[Valor Ativo]]=""), 1, 0)</f>
        <v>0</v>
      </c>
      <c r="E507" s="11">
        <f>IF(AND(ChartTable[[#This Row],[Valor Ativo]]&lt;&gt;"", ChartTable[[#This Row],[Valor Encerrado]]=""), 1, 0)</f>
        <v>1</v>
      </c>
      <c r="F507" s="11">
        <f>IF(AND(ChartTable[[#This Row],[Novo?]]=0, ChartTable[[#This Row],[Valor Ativo]]&lt;&gt;ChartTable[[#This Row],[Valor Encerrado]]), 1, 0)</f>
        <v>0</v>
      </c>
      <c r="G507" s="18" t="str">
        <f>IF(ChartTable[[#This Row],[Mudou?]]=1, ChartTable[[#This Row],[Valor Encerrado]]-ChartTable[[#This Row],[Valor Ativo]], "")</f>
        <v/>
      </c>
      <c r="H507" s="11" t="str">
        <f>IF(ChartTable[[#This Row],[Mudou?]]=1, IF(ChartTable[[#This Row],[Diferença]]&gt;0, "aumentou", "diminuiu"), "")</f>
        <v/>
      </c>
      <c r="I507" s="11" t="str" cm="1">
        <f t="array" ref="I507">_xlfn.IFS(ChartTable[[#This Row],[Exluido?]]=1,"Excluido",ChartTable[[#This Row],[Novo?]]=1, "Novo", ChartTable[[#This Row],[Mudou?]]=1, "Mudou")</f>
        <v>Novo</v>
      </c>
    </row>
    <row r="508" spans="1:9" x14ac:dyDescent="0.25">
      <c r="A508" t="s">
        <v>517</v>
      </c>
      <c r="B508" s="10">
        <v>11994.079563754722</v>
      </c>
      <c r="C508" s="10"/>
      <c r="D508" s="11">
        <f>IF(AND(ChartTable[[#This Row],[Valor Encerrado]]=0, ChartTable[[#This Row],[Valor Ativo]]=""), 1, 0)</f>
        <v>0</v>
      </c>
      <c r="E508" s="11">
        <f>IF(AND(ChartTable[[#This Row],[Valor Ativo]]&lt;&gt;"", ChartTable[[#This Row],[Valor Encerrado]]=""), 1, 0)</f>
        <v>1</v>
      </c>
      <c r="F508" s="11">
        <f>IF(AND(ChartTable[[#This Row],[Novo?]]=0, ChartTable[[#This Row],[Valor Ativo]]&lt;&gt;ChartTable[[#This Row],[Valor Encerrado]]), 1, 0)</f>
        <v>0</v>
      </c>
      <c r="G508" s="18" t="str">
        <f>IF(ChartTable[[#This Row],[Mudou?]]=1, ChartTable[[#This Row],[Valor Encerrado]]-ChartTable[[#This Row],[Valor Ativo]], "")</f>
        <v/>
      </c>
      <c r="H508" s="11" t="str">
        <f>IF(ChartTable[[#This Row],[Mudou?]]=1, IF(ChartTable[[#This Row],[Diferença]]&gt;0, "aumentou", "diminuiu"), "")</f>
        <v/>
      </c>
      <c r="I508" s="11" t="str" cm="1">
        <f t="array" ref="I508">_xlfn.IFS(ChartTable[[#This Row],[Exluido?]]=1,"Excluido",ChartTable[[#This Row],[Novo?]]=1, "Novo", ChartTable[[#This Row],[Mudou?]]=1, "Mudou")</f>
        <v>Novo</v>
      </c>
    </row>
    <row r="509" spans="1:9" x14ac:dyDescent="0.25">
      <c r="A509" t="s">
        <v>518</v>
      </c>
      <c r="B509" s="10">
        <v>11994.079563754722</v>
      </c>
      <c r="C509" s="10"/>
      <c r="D509" s="11">
        <f>IF(AND(ChartTable[[#This Row],[Valor Encerrado]]=0, ChartTable[[#This Row],[Valor Ativo]]=""), 1, 0)</f>
        <v>0</v>
      </c>
      <c r="E509" s="11">
        <f>IF(AND(ChartTable[[#This Row],[Valor Ativo]]&lt;&gt;"", ChartTable[[#This Row],[Valor Encerrado]]=""), 1, 0)</f>
        <v>1</v>
      </c>
      <c r="F509" s="11">
        <f>IF(AND(ChartTable[[#This Row],[Novo?]]=0, ChartTable[[#This Row],[Valor Ativo]]&lt;&gt;ChartTable[[#This Row],[Valor Encerrado]]), 1, 0)</f>
        <v>0</v>
      </c>
      <c r="G509" s="18" t="str">
        <f>IF(ChartTable[[#This Row],[Mudou?]]=1, ChartTable[[#This Row],[Valor Encerrado]]-ChartTable[[#This Row],[Valor Ativo]], "")</f>
        <v/>
      </c>
      <c r="H509" s="11" t="str">
        <f>IF(ChartTable[[#This Row],[Mudou?]]=1, IF(ChartTable[[#This Row],[Diferença]]&gt;0, "aumentou", "diminuiu"), "")</f>
        <v/>
      </c>
      <c r="I509" s="11" t="str" cm="1">
        <f t="array" ref="I509">_xlfn.IFS(ChartTable[[#This Row],[Exluido?]]=1,"Excluido",ChartTable[[#This Row],[Novo?]]=1, "Novo", ChartTable[[#This Row],[Mudou?]]=1, "Mudou")</f>
        <v>Novo</v>
      </c>
    </row>
    <row r="510" spans="1:9" x14ac:dyDescent="0.25">
      <c r="A510" t="s">
        <v>519</v>
      </c>
      <c r="B510" s="10">
        <v>21589.343214758501</v>
      </c>
      <c r="C510" s="10"/>
      <c r="D510" s="11">
        <f>IF(AND(ChartTable[[#This Row],[Valor Encerrado]]=0, ChartTable[[#This Row],[Valor Ativo]]=""), 1, 0)</f>
        <v>0</v>
      </c>
      <c r="E510" s="11">
        <f>IF(AND(ChartTable[[#This Row],[Valor Ativo]]&lt;&gt;"", ChartTable[[#This Row],[Valor Encerrado]]=""), 1, 0)</f>
        <v>1</v>
      </c>
      <c r="F510" s="11">
        <f>IF(AND(ChartTable[[#This Row],[Novo?]]=0, ChartTable[[#This Row],[Valor Ativo]]&lt;&gt;ChartTable[[#This Row],[Valor Encerrado]]), 1, 0)</f>
        <v>0</v>
      </c>
      <c r="G510" s="18" t="str">
        <f>IF(ChartTable[[#This Row],[Mudou?]]=1, ChartTable[[#This Row],[Valor Encerrado]]-ChartTable[[#This Row],[Valor Ativo]], "")</f>
        <v/>
      </c>
      <c r="H510" s="11" t="str">
        <f>IF(ChartTable[[#This Row],[Mudou?]]=1, IF(ChartTable[[#This Row],[Diferença]]&gt;0, "aumentou", "diminuiu"), "")</f>
        <v/>
      </c>
      <c r="I510" s="11" t="str" cm="1">
        <f t="array" ref="I510">_xlfn.IFS(ChartTable[[#This Row],[Exluido?]]=1,"Excluido",ChartTable[[#This Row],[Novo?]]=1, "Novo", ChartTable[[#This Row],[Mudou?]]=1, "Mudou")</f>
        <v>Novo</v>
      </c>
    </row>
    <row r="511" spans="1:9" x14ac:dyDescent="0.25">
      <c r="A511" t="s">
        <v>520</v>
      </c>
      <c r="B511" s="10">
        <v>38860.817786565305</v>
      </c>
      <c r="C511" s="10"/>
      <c r="D511" s="11">
        <f>IF(AND(ChartTable[[#This Row],[Valor Encerrado]]=0, ChartTable[[#This Row],[Valor Ativo]]=""), 1, 0)</f>
        <v>0</v>
      </c>
      <c r="E511" s="11">
        <f>IF(AND(ChartTable[[#This Row],[Valor Ativo]]&lt;&gt;"", ChartTable[[#This Row],[Valor Encerrado]]=""), 1, 0)</f>
        <v>1</v>
      </c>
      <c r="F511" s="11">
        <f>IF(AND(ChartTable[[#This Row],[Novo?]]=0, ChartTable[[#This Row],[Valor Ativo]]&lt;&gt;ChartTable[[#This Row],[Valor Encerrado]]), 1, 0)</f>
        <v>0</v>
      </c>
      <c r="G511" s="18" t="str">
        <f>IF(ChartTable[[#This Row],[Mudou?]]=1, ChartTable[[#This Row],[Valor Encerrado]]-ChartTable[[#This Row],[Valor Ativo]], "")</f>
        <v/>
      </c>
      <c r="H511" s="11" t="str">
        <f>IF(ChartTable[[#This Row],[Mudou?]]=1, IF(ChartTable[[#This Row],[Diferença]]&gt;0, "aumentou", "diminuiu"), "")</f>
        <v/>
      </c>
      <c r="I511" s="11" t="str" cm="1">
        <f t="array" ref="I511">_xlfn.IFS(ChartTable[[#This Row],[Exluido?]]=1,"Excluido",ChartTable[[#This Row],[Novo?]]=1, "Novo", ChartTable[[#This Row],[Mudou?]]=1, "Mudou")</f>
        <v>Novo</v>
      </c>
    </row>
    <row r="512" spans="1:9" x14ac:dyDescent="0.25">
      <c r="A512" t="s">
        <v>521</v>
      </c>
      <c r="B512" s="10">
        <v>69949.472015817548</v>
      </c>
      <c r="C512" s="10"/>
      <c r="D512" s="11">
        <f>IF(AND(ChartTable[[#This Row],[Valor Encerrado]]=0, ChartTable[[#This Row],[Valor Ativo]]=""), 1, 0)</f>
        <v>0</v>
      </c>
      <c r="E512" s="11">
        <f>IF(AND(ChartTable[[#This Row],[Valor Ativo]]&lt;&gt;"", ChartTable[[#This Row],[Valor Encerrado]]=""), 1, 0)</f>
        <v>1</v>
      </c>
      <c r="F512" s="11">
        <f>IF(AND(ChartTable[[#This Row],[Novo?]]=0, ChartTable[[#This Row],[Valor Ativo]]&lt;&gt;ChartTable[[#This Row],[Valor Encerrado]]), 1, 0)</f>
        <v>0</v>
      </c>
      <c r="G512" s="18" t="str">
        <f>IF(ChartTable[[#This Row],[Mudou?]]=1, ChartTable[[#This Row],[Valor Encerrado]]-ChartTable[[#This Row],[Valor Ativo]], "")</f>
        <v/>
      </c>
      <c r="H512" s="11" t="str">
        <f>IF(ChartTable[[#This Row],[Mudou?]]=1, IF(ChartTable[[#This Row],[Diferença]]&gt;0, "aumentou", "diminuiu"), "")</f>
        <v/>
      </c>
      <c r="I512" s="11" t="str" cm="1">
        <f t="array" ref="I512">_xlfn.IFS(ChartTable[[#This Row],[Exluido?]]=1,"Excluido",ChartTable[[#This Row],[Novo?]]=1, "Novo", ChartTable[[#This Row],[Mudou?]]=1, "Mudou")</f>
        <v>Novo</v>
      </c>
    </row>
    <row r="513" spans="1:9" x14ac:dyDescent="0.25">
      <c r="A513" t="s">
        <v>522</v>
      </c>
      <c r="B513" s="10">
        <v>125909.04962847159</v>
      </c>
      <c r="C513" s="10"/>
      <c r="D513" s="11">
        <f>IF(AND(ChartTable[[#This Row],[Valor Encerrado]]=0, ChartTable[[#This Row],[Valor Ativo]]=""), 1, 0)</f>
        <v>0</v>
      </c>
      <c r="E513" s="11">
        <f>IF(AND(ChartTable[[#This Row],[Valor Ativo]]&lt;&gt;"", ChartTable[[#This Row],[Valor Encerrado]]=""), 1, 0)</f>
        <v>1</v>
      </c>
      <c r="F513" s="11">
        <f>IF(AND(ChartTable[[#This Row],[Novo?]]=0, ChartTable[[#This Row],[Valor Ativo]]&lt;&gt;ChartTable[[#This Row],[Valor Encerrado]]), 1, 0)</f>
        <v>0</v>
      </c>
      <c r="G513" s="18" t="str">
        <f>IF(ChartTable[[#This Row],[Mudou?]]=1, ChartTable[[#This Row],[Valor Encerrado]]-ChartTable[[#This Row],[Valor Ativo]], "")</f>
        <v/>
      </c>
      <c r="H513" s="11" t="str">
        <f>IF(ChartTable[[#This Row],[Mudou?]]=1, IF(ChartTable[[#This Row],[Diferença]]&gt;0, "aumentou", "diminuiu"), "")</f>
        <v/>
      </c>
      <c r="I513" s="11" t="str" cm="1">
        <f t="array" ref="I513">_xlfn.IFS(ChartTable[[#This Row],[Exluido?]]=1,"Excluido",ChartTable[[#This Row],[Novo?]]=1, "Novo", ChartTable[[#This Row],[Mudou?]]=1, "Mudou")</f>
        <v>Novo</v>
      </c>
    </row>
    <row r="514" spans="1:9" x14ac:dyDescent="0.25">
      <c r="A514" t="s">
        <v>523</v>
      </c>
      <c r="B514" s="10">
        <v>226636.28933124887</v>
      </c>
      <c r="C514" s="10"/>
      <c r="D514" s="11">
        <f>IF(AND(ChartTable[[#This Row],[Valor Encerrado]]=0, ChartTable[[#This Row],[Valor Ativo]]=""), 1, 0)</f>
        <v>0</v>
      </c>
      <c r="E514" s="11">
        <f>IF(AND(ChartTable[[#This Row],[Valor Ativo]]&lt;&gt;"", ChartTable[[#This Row],[Valor Encerrado]]=""), 1, 0)</f>
        <v>1</v>
      </c>
      <c r="F514" s="11">
        <f>IF(AND(ChartTable[[#This Row],[Novo?]]=0, ChartTable[[#This Row],[Valor Ativo]]&lt;&gt;ChartTable[[#This Row],[Valor Encerrado]]), 1, 0)</f>
        <v>0</v>
      </c>
      <c r="G514" s="18" t="str">
        <f>IF(ChartTable[[#This Row],[Mudou?]]=1, ChartTable[[#This Row],[Valor Encerrado]]-ChartTable[[#This Row],[Valor Ativo]], "")</f>
        <v/>
      </c>
      <c r="H514" s="11" t="str">
        <f>IF(ChartTable[[#This Row],[Mudou?]]=1, IF(ChartTable[[#This Row],[Diferença]]&gt;0, "aumentou", "diminuiu"), "")</f>
        <v/>
      </c>
      <c r="I514" s="11" t="str" cm="1">
        <f t="array" ref="I514">_xlfn.IFS(ChartTable[[#This Row],[Exluido?]]=1,"Excluido",ChartTable[[#This Row],[Novo?]]=1, "Novo", ChartTable[[#This Row],[Mudou?]]=1, "Mudou")</f>
        <v>Novo</v>
      </c>
    </row>
    <row r="515" spans="1:9" x14ac:dyDescent="0.25">
      <c r="A515" t="s">
        <v>524</v>
      </c>
      <c r="B515" s="10">
        <v>407945.32079624798</v>
      </c>
      <c r="C515" s="10"/>
      <c r="D515" s="11">
        <f>IF(AND(ChartTable[[#This Row],[Valor Encerrado]]=0, ChartTable[[#This Row],[Valor Ativo]]=""), 1, 0)</f>
        <v>0</v>
      </c>
      <c r="E515" s="11">
        <f>IF(AND(ChartTable[[#This Row],[Valor Ativo]]&lt;&gt;"", ChartTable[[#This Row],[Valor Encerrado]]=""), 1, 0)</f>
        <v>1</v>
      </c>
      <c r="F515" s="11">
        <f>IF(AND(ChartTable[[#This Row],[Novo?]]=0, ChartTable[[#This Row],[Valor Ativo]]&lt;&gt;ChartTable[[#This Row],[Valor Encerrado]]), 1, 0)</f>
        <v>0</v>
      </c>
      <c r="G515" s="18" t="str">
        <f>IF(ChartTable[[#This Row],[Mudou?]]=1, ChartTable[[#This Row],[Valor Encerrado]]-ChartTable[[#This Row],[Valor Ativo]], "")</f>
        <v/>
      </c>
      <c r="H515" s="11" t="str">
        <f>IF(ChartTable[[#This Row],[Mudou?]]=1, IF(ChartTable[[#This Row],[Diferença]]&gt;0, "aumentou", "diminuiu"), "")</f>
        <v/>
      </c>
      <c r="I515" s="11" t="str" cm="1">
        <f t="array" ref="I515">_xlfn.IFS(ChartTable[[#This Row],[Exluido?]]=1,"Excluido",ChartTable[[#This Row],[Novo?]]=1, "Novo", ChartTable[[#This Row],[Mudou?]]=1, "Mudou")</f>
        <v>Novo</v>
      </c>
    </row>
    <row r="516" spans="1:9" x14ac:dyDescent="0.25">
      <c r="A516" t="s">
        <v>525</v>
      </c>
      <c r="B516" s="10">
        <v>734301.57743324642</v>
      </c>
      <c r="C516" s="10"/>
      <c r="D516" s="11">
        <f>IF(AND(ChartTable[[#This Row],[Valor Encerrado]]=0, ChartTable[[#This Row],[Valor Ativo]]=""), 1, 0)</f>
        <v>0</v>
      </c>
      <c r="E516" s="11">
        <f>IF(AND(ChartTable[[#This Row],[Valor Ativo]]&lt;&gt;"", ChartTable[[#This Row],[Valor Encerrado]]=""), 1, 0)</f>
        <v>1</v>
      </c>
      <c r="F516" s="11">
        <f>IF(AND(ChartTable[[#This Row],[Novo?]]=0, ChartTable[[#This Row],[Valor Ativo]]&lt;&gt;ChartTable[[#This Row],[Valor Encerrado]]), 1, 0)</f>
        <v>0</v>
      </c>
      <c r="G516" s="18" t="str">
        <f>IF(ChartTable[[#This Row],[Mudou?]]=1, ChartTable[[#This Row],[Valor Encerrado]]-ChartTable[[#This Row],[Valor Ativo]], "")</f>
        <v/>
      </c>
      <c r="H516" s="11" t="str">
        <f>IF(ChartTable[[#This Row],[Mudou?]]=1, IF(ChartTable[[#This Row],[Diferença]]&gt;0, "aumentou", "diminuiu"), "")</f>
        <v/>
      </c>
      <c r="I516" s="11" t="str" cm="1">
        <f t="array" ref="I516">_xlfn.IFS(ChartTable[[#This Row],[Exluido?]]=1,"Excluido",ChartTable[[#This Row],[Novo?]]=1, "Novo", ChartTable[[#This Row],[Mudou?]]=1, "Mudou")</f>
        <v>Novo</v>
      </c>
    </row>
    <row r="517" spans="1:9" x14ac:dyDescent="0.25">
      <c r="A517" t="s">
        <v>526</v>
      </c>
      <c r="B517" s="10">
        <v>1321742.8393798436</v>
      </c>
      <c r="C517" s="10"/>
      <c r="D517" s="11">
        <f>IF(AND(ChartTable[[#This Row],[Valor Encerrado]]=0, ChartTable[[#This Row],[Valor Ativo]]=""), 1, 0)</f>
        <v>0</v>
      </c>
      <c r="E517" s="11">
        <f>IF(AND(ChartTable[[#This Row],[Valor Ativo]]&lt;&gt;"", ChartTable[[#This Row],[Valor Encerrado]]=""), 1, 0)</f>
        <v>1</v>
      </c>
      <c r="F517" s="11">
        <f>IF(AND(ChartTable[[#This Row],[Novo?]]=0, ChartTable[[#This Row],[Valor Ativo]]&lt;&gt;ChartTable[[#This Row],[Valor Encerrado]]), 1, 0)</f>
        <v>0</v>
      </c>
      <c r="G517" s="18" t="str">
        <f>IF(ChartTable[[#This Row],[Mudou?]]=1, ChartTable[[#This Row],[Valor Encerrado]]-ChartTable[[#This Row],[Valor Ativo]], "")</f>
        <v/>
      </c>
      <c r="H517" s="11" t="str">
        <f>IF(ChartTable[[#This Row],[Mudou?]]=1, IF(ChartTable[[#This Row],[Diferença]]&gt;0, "aumentou", "diminuiu"), "")</f>
        <v/>
      </c>
      <c r="I517" s="11" t="str" cm="1">
        <f t="array" ref="I517">_xlfn.IFS(ChartTable[[#This Row],[Exluido?]]=1,"Excluido",ChartTable[[#This Row],[Novo?]]=1, "Novo", ChartTable[[#This Row],[Mudou?]]=1, "Mudou")</f>
        <v>Novo</v>
      </c>
    </row>
    <row r="518" spans="1:9" x14ac:dyDescent="0.25">
      <c r="A518" t="s">
        <v>527</v>
      </c>
      <c r="B518" s="10">
        <v>2379137.1108837184</v>
      </c>
      <c r="C518" s="10"/>
      <c r="D518" s="11">
        <f>IF(AND(ChartTable[[#This Row],[Valor Encerrado]]=0, ChartTable[[#This Row],[Valor Ativo]]=""), 1, 0)</f>
        <v>0</v>
      </c>
      <c r="E518" s="11">
        <f>IF(AND(ChartTable[[#This Row],[Valor Ativo]]&lt;&gt;"", ChartTable[[#This Row],[Valor Encerrado]]=""), 1, 0)</f>
        <v>1</v>
      </c>
      <c r="F518" s="11">
        <f>IF(AND(ChartTable[[#This Row],[Novo?]]=0, ChartTable[[#This Row],[Valor Ativo]]&lt;&gt;ChartTable[[#This Row],[Valor Encerrado]]), 1, 0)</f>
        <v>0</v>
      </c>
      <c r="G518" s="18" t="str">
        <f>IF(ChartTable[[#This Row],[Mudou?]]=1, ChartTable[[#This Row],[Valor Encerrado]]-ChartTable[[#This Row],[Valor Ativo]], "")</f>
        <v/>
      </c>
      <c r="H518" s="11" t="str">
        <f>IF(ChartTable[[#This Row],[Mudou?]]=1, IF(ChartTable[[#This Row],[Diferença]]&gt;0, "aumentou", "diminuiu"), "")</f>
        <v/>
      </c>
      <c r="I518" s="11" t="str" cm="1">
        <f t="array" ref="I518">_xlfn.IFS(ChartTable[[#This Row],[Exluido?]]=1,"Excluido",ChartTable[[#This Row],[Novo?]]=1, "Novo", ChartTable[[#This Row],[Mudou?]]=1, "Mudou")</f>
        <v>Novo</v>
      </c>
    </row>
    <row r="519" spans="1:9" x14ac:dyDescent="0.25">
      <c r="A519" t="s">
        <v>528</v>
      </c>
      <c r="B519" s="10">
        <v>4282446.7995906929</v>
      </c>
      <c r="C519" s="10"/>
      <c r="D519" s="11">
        <f>IF(AND(ChartTable[[#This Row],[Valor Encerrado]]=0, ChartTable[[#This Row],[Valor Ativo]]=""), 1, 0)</f>
        <v>0</v>
      </c>
      <c r="E519" s="11">
        <f>IF(AND(ChartTable[[#This Row],[Valor Ativo]]&lt;&gt;"", ChartTable[[#This Row],[Valor Encerrado]]=""), 1, 0)</f>
        <v>1</v>
      </c>
      <c r="F519" s="11">
        <f>IF(AND(ChartTable[[#This Row],[Novo?]]=0, ChartTable[[#This Row],[Valor Ativo]]&lt;&gt;ChartTable[[#This Row],[Valor Encerrado]]), 1, 0)</f>
        <v>0</v>
      </c>
      <c r="G519" s="18" t="str">
        <f>IF(ChartTable[[#This Row],[Mudou?]]=1, ChartTable[[#This Row],[Valor Encerrado]]-ChartTable[[#This Row],[Valor Ativo]], "")</f>
        <v/>
      </c>
      <c r="H519" s="11" t="str">
        <f>IF(ChartTable[[#This Row],[Mudou?]]=1, IF(ChartTable[[#This Row],[Diferença]]&gt;0, "aumentou", "diminuiu"), "")</f>
        <v/>
      </c>
      <c r="I519" s="11" t="str" cm="1">
        <f t="array" ref="I519">_xlfn.IFS(ChartTable[[#This Row],[Exluido?]]=1,"Excluido",ChartTable[[#This Row],[Novo?]]=1, "Novo", ChartTable[[#This Row],[Mudou?]]=1, "Mudou")</f>
        <v>Novo</v>
      </c>
    </row>
    <row r="520" spans="1:9" x14ac:dyDescent="0.25">
      <c r="A520" t="s">
        <v>529</v>
      </c>
      <c r="B520" s="10">
        <v>7708404.2392632477</v>
      </c>
      <c r="C520" s="10"/>
      <c r="D520" s="11">
        <f>IF(AND(ChartTable[[#This Row],[Valor Encerrado]]=0, ChartTable[[#This Row],[Valor Ativo]]=""), 1, 0)</f>
        <v>0</v>
      </c>
      <c r="E520" s="11">
        <f>IF(AND(ChartTable[[#This Row],[Valor Ativo]]&lt;&gt;"", ChartTable[[#This Row],[Valor Encerrado]]=""), 1, 0)</f>
        <v>1</v>
      </c>
      <c r="F520" s="11">
        <f>IF(AND(ChartTable[[#This Row],[Novo?]]=0, ChartTable[[#This Row],[Valor Ativo]]&lt;&gt;ChartTable[[#This Row],[Valor Encerrado]]), 1, 0)</f>
        <v>0</v>
      </c>
      <c r="G520" s="18" t="str">
        <f>IF(ChartTable[[#This Row],[Mudou?]]=1, ChartTable[[#This Row],[Valor Encerrado]]-ChartTable[[#This Row],[Valor Ativo]], "")</f>
        <v/>
      </c>
      <c r="H520" s="11" t="str">
        <f>IF(ChartTable[[#This Row],[Mudou?]]=1, IF(ChartTable[[#This Row],[Diferença]]&gt;0, "aumentou", "diminuiu"), "")</f>
        <v/>
      </c>
      <c r="I520" s="11" t="str" cm="1">
        <f t="array" ref="I520">_xlfn.IFS(ChartTable[[#This Row],[Exluido?]]=1,"Excluido",ChartTable[[#This Row],[Novo?]]=1, "Novo", ChartTable[[#This Row],[Mudou?]]=1, "Mudou")</f>
        <v>Novo</v>
      </c>
    </row>
    <row r="521" spans="1:9" x14ac:dyDescent="0.25">
      <c r="A521" t="s">
        <v>530</v>
      </c>
      <c r="B521" s="10">
        <v>13875127.630673846</v>
      </c>
      <c r="C521" s="10"/>
      <c r="D521" s="11">
        <f>IF(AND(ChartTable[[#This Row],[Valor Encerrado]]=0, ChartTable[[#This Row],[Valor Ativo]]=""), 1, 0)</f>
        <v>0</v>
      </c>
      <c r="E521" s="11">
        <f>IF(AND(ChartTable[[#This Row],[Valor Ativo]]&lt;&gt;"", ChartTable[[#This Row],[Valor Encerrado]]=""), 1, 0)</f>
        <v>1</v>
      </c>
      <c r="F521" s="11">
        <f>IF(AND(ChartTable[[#This Row],[Novo?]]=0, ChartTable[[#This Row],[Valor Ativo]]&lt;&gt;ChartTable[[#This Row],[Valor Encerrado]]), 1, 0)</f>
        <v>0</v>
      </c>
      <c r="G521" s="18" t="str">
        <f>IF(ChartTable[[#This Row],[Mudou?]]=1, ChartTable[[#This Row],[Valor Encerrado]]-ChartTable[[#This Row],[Valor Ativo]], "")</f>
        <v/>
      </c>
      <c r="H521" s="11" t="str">
        <f>IF(ChartTable[[#This Row],[Mudou?]]=1, IF(ChartTable[[#This Row],[Diferença]]&gt;0, "aumentou", "diminuiu"), "")</f>
        <v/>
      </c>
      <c r="I521" s="11" t="str" cm="1">
        <f t="array" ref="I521">_xlfn.IFS(ChartTable[[#This Row],[Exluido?]]=1,"Excluido",ChartTable[[#This Row],[Novo?]]=1, "Novo", ChartTable[[#This Row],[Mudou?]]=1, "Mudou")</f>
        <v>Novo</v>
      </c>
    </row>
    <row r="522" spans="1:9" x14ac:dyDescent="0.25">
      <c r="A522" t="s">
        <v>531</v>
      </c>
      <c r="B522" s="10">
        <v>24975229.735212922</v>
      </c>
      <c r="C522" s="10"/>
      <c r="D522" s="11">
        <f>IF(AND(ChartTable[[#This Row],[Valor Encerrado]]=0, ChartTable[[#This Row],[Valor Ativo]]=""), 1, 0)</f>
        <v>0</v>
      </c>
      <c r="E522" s="11">
        <f>IF(AND(ChartTable[[#This Row],[Valor Ativo]]&lt;&gt;"", ChartTable[[#This Row],[Valor Encerrado]]=""), 1, 0)</f>
        <v>1</v>
      </c>
      <c r="F522" s="11">
        <f>IF(AND(ChartTable[[#This Row],[Novo?]]=0, ChartTable[[#This Row],[Valor Ativo]]&lt;&gt;ChartTable[[#This Row],[Valor Encerrado]]), 1, 0)</f>
        <v>0</v>
      </c>
      <c r="G522" s="18" t="str">
        <f>IF(ChartTable[[#This Row],[Mudou?]]=1, ChartTable[[#This Row],[Valor Encerrado]]-ChartTable[[#This Row],[Valor Ativo]], "")</f>
        <v/>
      </c>
      <c r="H522" s="11" t="str">
        <f>IF(ChartTable[[#This Row],[Mudou?]]=1, IF(ChartTable[[#This Row],[Diferença]]&gt;0, "aumentou", "diminuiu"), "")</f>
        <v/>
      </c>
      <c r="I522" s="11" t="str" cm="1">
        <f t="array" ref="I522">_xlfn.IFS(ChartTable[[#This Row],[Exluido?]]=1,"Excluido",ChartTable[[#This Row],[Novo?]]=1, "Novo", ChartTable[[#This Row],[Mudou?]]=1, "Mudou")</f>
        <v>Novo</v>
      </c>
    </row>
    <row r="523" spans="1:9" x14ac:dyDescent="0.25">
      <c r="A523" t="s">
        <v>532</v>
      </c>
      <c r="B523" s="10">
        <v>44955413.52338326</v>
      </c>
      <c r="C523" s="10"/>
      <c r="D523" s="11">
        <f>IF(AND(ChartTable[[#This Row],[Valor Encerrado]]=0, ChartTable[[#This Row],[Valor Ativo]]=""), 1, 0)</f>
        <v>0</v>
      </c>
      <c r="E523" s="11">
        <f>IF(AND(ChartTable[[#This Row],[Valor Ativo]]&lt;&gt;"", ChartTable[[#This Row],[Valor Encerrado]]=""), 1, 0)</f>
        <v>1</v>
      </c>
      <c r="F523" s="11">
        <f>IF(AND(ChartTable[[#This Row],[Novo?]]=0, ChartTable[[#This Row],[Valor Ativo]]&lt;&gt;ChartTable[[#This Row],[Valor Encerrado]]), 1, 0)</f>
        <v>0</v>
      </c>
      <c r="G523" s="18" t="str">
        <f>IF(ChartTable[[#This Row],[Mudou?]]=1, ChartTable[[#This Row],[Valor Encerrado]]-ChartTable[[#This Row],[Valor Ativo]], "")</f>
        <v/>
      </c>
      <c r="H523" s="11" t="str">
        <f>IF(ChartTable[[#This Row],[Mudou?]]=1, IF(ChartTable[[#This Row],[Diferença]]&gt;0, "aumentou", "diminuiu"), "")</f>
        <v/>
      </c>
      <c r="I523" s="11" t="str" cm="1">
        <f t="array" ref="I523">_xlfn.IFS(ChartTable[[#This Row],[Exluido?]]=1,"Excluido",ChartTable[[#This Row],[Novo?]]=1, "Novo", ChartTable[[#This Row],[Mudou?]]=1, "Mudou")</f>
        <v>Novo</v>
      </c>
    </row>
    <row r="524" spans="1:9" x14ac:dyDescent="0.25">
      <c r="A524" t="s">
        <v>533</v>
      </c>
      <c r="B524" s="10"/>
      <c r="C524" s="10">
        <v>80919744.342089877</v>
      </c>
      <c r="D524" s="11">
        <f>IF(AND(ChartTable[[#This Row],[Valor Encerrado]]=0, ChartTable[[#This Row],[Valor Ativo]]=""), 1, 0)</f>
        <v>0</v>
      </c>
      <c r="E524" s="11">
        <f>IF(AND(ChartTable[[#This Row],[Valor Ativo]]&lt;&gt;"", ChartTable[[#This Row],[Valor Encerrado]]=""), 1, 0)</f>
        <v>0</v>
      </c>
      <c r="F524" s="11">
        <f>IF(AND(ChartTable[[#This Row],[Novo?]]=0, ChartTable[[#This Row],[Valor Ativo]]&lt;&gt;ChartTable[[#This Row],[Valor Encerrado]]), 1, 0)</f>
        <v>1</v>
      </c>
      <c r="G524" s="18">
        <f>IF(ChartTable[[#This Row],[Mudou?]]=1, ChartTable[[#This Row],[Valor Encerrado]]-ChartTable[[#This Row],[Valor Ativo]], "")</f>
        <v>80919744.342089877</v>
      </c>
      <c r="H524" s="11" t="str">
        <f>IF(ChartTable[[#This Row],[Mudou?]]=1, IF(ChartTable[[#This Row],[Diferença]]&gt;0, "aumentou", "diminuiu"), "")</f>
        <v>aumentou</v>
      </c>
      <c r="I524" s="11" t="str" cm="1">
        <f t="array" ref="I524">_xlfn.IFS(ChartTable[[#This Row],[Exluido?]]=1,"Excluido",ChartTable[[#This Row],[Novo?]]=1, "Novo", ChartTable[[#This Row],[Mudou?]]=1, "Mudou")</f>
        <v>Mudou</v>
      </c>
    </row>
    <row r="525" spans="1:9" x14ac:dyDescent="0.25">
      <c r="A525" t="s">
        <v>534</v>
      </c>
      <c r="B525" s="10"/>
      <c r="C525" s="10">
        <v>145655539.81576177</v>
      </c>
      <c r="D525" s="11">
        <f>IF(AND(ChartTable[[#This Row],[Valor Encerrado]]=0, ChartTable[[#This Row],[Valor Ativo]]=""), 1, 0)</f>
        <v>0</v>
      </c>
      <c r="E525" s="11">
        <f>IF(AND(ChartTable[[#This Row],[Valor Ativo]]&lt;&gt;"", ChartTable[[#This Row],[Valor Encerrado]]=""), 1, 0)</f>
        <v>0</v>
      </c>
      <c r="F525" s="11">
        <f>IF(AND(ChartTable[[#This Row],[Novo?]]=0, ChartTable[[#This Row],[Valor Ativo]]&lt;&gt;ChartTable[[#This Row],[Valor Encerrado]]), 1, 0)</f>
        <v>1</v>
      </c>
      <c r="G525" s="18">
        <f>IF(ChartTable[[#This Row],[Mudou?]]=1, ChartTable[[#This Row],[Valor Encerrado]]-ChartTable[[#This Row],[Valor Ativo]], "")</f>
        <v>145655539.81576177</v>
      </c>
      <c r="H525" s="11" t="str">
        <f>IF(ChartTable[[#This Row],[Mudou?]]=1, IF(ChartTable[[#This Row],[Diferença]]&gt;0, "aumentou", "diminuiu"), "")</f>
        <v>aumentou</v>
      </c>
      <c r="I525" s="11" t="str" cm="1">
        <f t="array" ref="I525">_xlfn.IFS(ChartTable[[#This Row],[Exluido?]]=1,"Excluido",ChartTable[[#This Row],[Novo?]]=1, "Novo", ChartTable[[#This Row],[Mudou?]]=1, "Mudou")</f>
        <v>Mudou</v>
      </c>
    </row>
    <row r="526" spans="1:9" x14ac:dyDescent="0.25">
      <c r="A526" t="s">
        <v>535</v>
      </c>
      <c r="B526" s="10"/>
      <c r="C526" s="10">
        <v>0</v>
      </c>
      <c r="D526" s="11">
        <f>IF(AND(ChartTable[[#This Row],[Valor Encerrado]]=0, ChartTable[[#This Row],[Valor Ativo]]=""), 1, 0)</f>
        <v>1</v>
      </c>
      <c r="E526" s="11">
        <f>IF(AND(ChartTable[[#This Row],[Valor Ativo]]&lt;&gt;"", ChartTable[[#This Row],[Valor Encerrado]]=""), 1, 0)</f>
        <v>0</v>
      </c>
      <c r="F526" s="11">
        <f>IF(AND(ChartTable[[#This Row],[Novo?]]=0, ChartTable[[#This Row],[Valor Ativo]]&lt;&gt;ChartTable[[#This Row],[Valor Encerrado]]), 1, 0)</f>
        <v>0</v>
      </c>
      <c r="G526" s="18" t="str">
        <f>IF(ChartTable[[#This Row],[Mudou?]]=1, ChartTable[[#This Row],[Valor Encerrado]]-ChartTable[[#This Row],[Valor Ativo]], "")</f>
        <v/>
      </c>
      <c r="H526" s="11" t="str">
        <f>IF(ChartTable[[#This Row],[Mudou?]]=1, IF(ChartTable[[#This Row],[Diferença]]&gt;0, "aumentou", "diminuiu"), "")</f>
        <v/>
      </c>
      <c r="I526" s="11" t="str" cm="1">
        <f t="array" ref="I526">_xlfn.IFS(ChartTable[[#This Row],[Exluido?]]=1,"Excluido",ChartTable[[#This Row],[Novo?]]=1, "Novo", ChartTable[[#This Row],[Mudou?]]=1, "Mudou")</f>
        <v>Excluido</v>
      </c>
    </row>
    <row r="527" spans="1:9" x14ac:dyDescent="0.25">
      <c r="A527" t="s">
        <v>536</v>
      </c>
      <c r="B527" s="10"/>
      <c r="C527" s="10">
        <v>0</v>
      </c>
      <c r="D527" s="11">
        <f>IF(AND(ChartTable[[#This Row],[Valor Encerrado]]=0, ChartTable[[#This Row],[Valor Ativo]]=""), 1, 0)</f>
        <v>1</v>
      </c>
      <c r="E527" s="11">
        <f>IF(AND(ChartTable[[#This Row],[Valor Ativo]]&lt;&gt;"", ChartTable[[#This Row],[Valor Encerrado]]=""), 1, 0)</f>
        <v>0</v>
      </c>
      <c r="F527" s="11">
        <f>IF(AND(ChartTable[[#This Row],[Novo?]]=0, ChartTable[[#This Row],[Valor Ativo]]&lt;&gt;ChartTable[[#This Row],[Valor Encerrado]]), 1, 0)</f>
        <v>0</v>
      </c>
      <c r="G527" s="18" t="str">
        <f>IF(ChartTable[[#This Row],[Mudou?]]=1, ChartTable[[#This Row],[Valor Encerrado]]-ChartTable[[#This Row],[Valor Ativo]], "")</f>
        <v/>
      </c>
      <c r="H527" s="11" t="str">
        <f>IF(ChartTable[[#This Row],[Mudou?]]=1, IF(ChartTable[[#This Row],[Diferença]]&gt;0, "aumentou", "diminuiu"), "")</f>
        <v/>
      </c>
      <c r="I527" s="11" t="str" cm="1">
        <f t="array" ref="I527">_xlfn.IFS(ChartTable[[#This Row],[Exluido?]]=1,"Excluido",ChartTable[[#This Row],[Novo?]]=1, "Novo", ChartTable[[#This Row],[Mudou?]]=1, "Mudou")</f>
        <v>Excluido</v>
      </c>
    </row>
    <row r="528" spans="1:9" x14ac:dyDescent="0.25">
      <c r="A528" t="s">
        <v>537</v>
      </c>
      <c r="B528" s="10"/>
      <c r="C528" s="10">
        <v>0</v>
      </c>
      <c r="D528" s="11">
        <f>IF(AND(ChartTable[[#This Row],[Valor Encerrado]]=0, ChartTable[[#This Row],[Valor Ativo]]=""), 1, 0)</f>
        <v>1</v>
      </c>
      <c r="E528" s="11">
        <f>IF(AND(ChartTable[[#This Row],[Valor Ativo]]&lt;&gt;"", ChartTable[[#This Row],[Valor Encerrado]]=""), 1, 0)</f>
        <v>0</v>
      </c>
      <c r="F528" s="11">
        <f>IF(AND(ChartTable[[#This Row],[Novo?]]=0, ChartTable[[#This Row],[Valor Ativo]]&lt;&gt;ChartTable[[#This Row],[Valor Encerrado]]), 1, 0)</f>
        <v>0</v>
      </c>
      <c r="G528" s="18" t="str">
        <f>IF(ChartTable[[#This Row],[Mudou?]]=1, ChartTable[[#This Row],[Valor Encerrado]]-ChartTable[[#This Row],[Valor Ativo]], "")</f>
        <v/>
      </c>
      <c r="H528" s="11" t="str">
        <f>IF(ChartTable[[#This Row],[Mudou?]]=1, IF(ChartTable[[#This Row],[Diferença]]&gt;0, "aumentou", "diminuiu"), "")</f>
        <v/>
      </c>
      <c r="I528" s="11" t="str" cm="1">
        <f t="array" ref="I528">_xlfn.IFS(ChartTable[[#This Row],[Exluido?]]=1,"Excluido",ChartTable[[#This Row],[Novo?]]=1, "Novo", ChartTable[[#This Row],[Mudou?]]=1, "Mudou")</f>
        <v>Excluido</v>
      </c>
    </row>
    <row r="529" spans="1:9" x14ac:dyDescent="0.25">
      <c r="A529" t="s">
        <v>538</v>
      </c>
      <c r="B529" s="10"/>
      <c r="C529" s="10">
        <v>0</v>
      </c>
      <c r="D529" s="11">
        <f>IF(AND(ChartTable[[#This Row],[Valor Encerrado]]=0, ChartTable[[#This Row],[Valor Ativo]]=""), 1, 0)</f>
        <v>1</v>
      </c>
      <c r="E529" s="11">
        <f>IF(AND(ChartTable[[#This Row],[Valor Ativo]]&lt;&gt;"", ChartTable[[#This Row],[Valor Encerrado]]=""), 1, 0)</f>
        <v>0</v>
      </c>
      <c r="F529" s="11">
        <f>IF(AND(ChartTable[[#This Row],[Novo?]]=0, ChartTable[[#This Row],[Valor Ativo]]&lt;&gt;ChartTable[[#This Row],[Valor Encerrado]]), 1, 0)</f>
        <v>0</v>
      </c>
      <c r="G529" s="18" t="str">
        <f>IF(ChartTable[[#This Row],[Mudou?]]=1, ChartTable[[#This Row],[Valor Encerrado]]-ChartTable[[#This Row],[Valor Ativo]], "")</f>
        <v/>
      </c>
      <c r="H529" s="11" t="str">
        <f>IF(ChartTable[[#This Row],[Mudou?]]=1, IF(ChartTable[[#This Row],[Diferença]]&gt;0, "aumentou", "diminuiu"), "")</f>
        <v/>
      </c>
      <c r="I529" s="11" t="str" cm="1">
        <f t="array" ref="I529">_xlfn.IFS(ChartTable[[#This Row],[Exluido?]]=1,"Excluido",ChartTable[[#This Row],[Novo?]]=1, "Novo", ChartTable[[#This Row],[Mudou?]]=1, "Mudou")</f>
        <v>Excluido</v>
      </c>
    </row>
    <row r="530" spans="1:9" x14ac:dyDescent="0.25">
      <c r="A530" t="s">
        <v>539</v>
      </c>
      <c r="B530" s="10"/>
      <c r="C530" s="10">
        <v>0</v>
      </c>
      <c r="D530" s="11">
        <f>IF(AND(ChartTable[[#This Row],[Valor Encerrado]]=0, ChartTable[[#This Row],[Valor Ativo]]=""), 1, 0)</f>
        <v>1</v>
      </c>
      <c r="E530" s="11">
        <f>IF(AND(ChartTable[[#This Row],[Valor Ativo]]&lt;&gt;"", ChartTable[[#This Row],[Valor Encerrado]]=""), 1, 0)</f>
        <v>0</v>
      </c>
      <c r="F530" s="11">
        <f>IF(AND(ChartTable[[#This Row],[Novo?]]=0, ChartTable[[#This Row],[Valor Ativo]]&lt;&gt;ChartTable[[#This Row],[Valor Encerrado]]), 1, 0)</f>
        <v>0</v>
      </c>
      <c r="G530" s="18" t="str">
        <f>IF(ChartTable[[#This Row],[Mudou?]]=1, ChartTable[[#This Row],[Valor Encerrado]]-ChartTable[[#This Row],[Valor Ativo]], "")</f>
        <v/>
      </c>
      <c r="H530" s="11" t="str">
        <f>IF(ChartTable[[#This Row],[Mudou?]]=1, IF(ChartTable[[#This Row],[Diferença]]&gt;0, "aumentou", "diminuiu"), "")</f>
        <v/>
      </c>
      <c r="I530" s="11" t="str" cm="1">
        <f t="array" ref="I530">_xlfn.IFS(ChartTable[[#This Row],[Exluido?]]=1,"Excluido",ChartTable[[#This Row],[Novo?]]=1, "Novo", ChartTable[[#This Row],[Mudou?]]=1, "Mudou")</f>
        <v>Excluido</v>
      </c>
    </row>
    <row r="531" spans="1:9" x14ac:dyDescent="0.25">
      <c r="A531" t="s">
        <v>540</v>
      </c>
      <c r="B531" s="10"/>
      <c r="C531" s="10">
        <v>0</v>
      </c>
      <c r="D531" s="11">
        <f>IF(AND(ChartTable[[#This Row],[Valor Encerrado]]=0, ChartTable[[#This Row],[Valor Ativo]]=""), 1, 0)</f>
        <v>1</v>
      </c>
      <c r="E531" s="11">
        <f>IF(AND(ChartTable[[#This Row],[Valor Ativo]]&lt;&gt;"", ChartTable[[#This Row],[Valor Encerrado]]=""), 1, 0)</f>
        <v>0</v>
      </c>
      <c r="F531" s="11">
        <f>IF(AND(ChartTable[[#This Row],[Novo?]]=0, ChartTable[[#This Row],[Valor Ativo]]&lt;&gt;ChartTable[[#This Row],[Valor Encerrado]]), 1, 0)</f>
        <v>0</v>
      </c>
      <c r="G531" s="18" t="str">
        <f>IF(ChartTable[[#This Row],[Mudou?]]=1, ChartTable[[#This Row],[Valor Encerrado]]-ChartTable[[#This Row],[Valor Ativo]], "")</f>
        <v/>
      </c>
      <c r="H531" s="11" t="str">
        <f>IF(ChartTable[[#This Row],[Mudou?]]=1, IF(ChartTable[[#This Row],[Diferença]]&gt;0, "aumentou", "diminuiu"), "")</f>
        <v/>
      </c>
      <c r="I531" s="11" t="str" cm="1">
        <f t="array" ref="I531">_xlfn.IFS(ChartTable[[#This Row],[Exluido?]]=1,"Excluido",ChartTable[[#This Row],[Novo?]]=1, "Novo", ChartTable[[#This Row],[Mudou?]]=1, "Mudou")</f>
        <v>Excluido</v>
      </c>
    </row>
    <row r="532" spans="1:9" x14ac:dyDescent="0.25">
      <c r="A532" t="s">
        <v>541</v>
      </c>
      <c r="B532" s="10"/>
      <c r="C532" s="10">
        <v>0</v>
      </c>
      <c r="D532" s="11">
        <f>IF(AND(ChartTable[[#This Row],[Valor Encerrado]]=0, ChartTable[[#This Row],[Valor Ativo]]=""), 1, 0)</f>
        <v>1</v>
      </c>
      <c r="E532" s="11">
        <f>IF(AND(ChartTable[[#This Row],[Valor Ativo]]&lt;&gt;"", ChartTable[[#This Row],[Valor Encerrado]]=""), 1, 0)</f>
        <v>0</v>
      </c>
      <c r="F532" s="11">
        <f>IF(AND(ChartTable[[#This Row],[Novo?]]=0, ChartTable[[#This Row],[Valor Ativo]]&lt;&gt;ChartTable[[#This Row],[Valor Encerrado]]), 1, 0)</f>
        <v>0</v>
      </c>
      <c r="G532" s="18" t="str">
        <f>IF(ChartTable[[#This Row],[Mudou?]]=1, ChartTable[[#This Row],[Valor Encerrado]]-ChartTable[[#This Row],[Valor Ativo]], "")</f>
        <v/>
      </c>
      <c r="H532" s="11" t="str">
        <f>IF(ChartTable[[#This Row],[Mudou?]]=1, IF(ChartTable[[#This Row],[Diferença]]&gt;0, "aumentou", "diminuiu"), "")</f>
        <v/>
      </c>
      <c r="I532" s="11" t="str" cm="1">
        <f t="array" ref="I532">_xlfn.IFS(ChartTable[[#This Row],[Exluido?]]=1,"Excluido",ChartTable[[#This Row],[Novo?]]=1, "Novo", ChartTable[[#This Row],[Mudou?]]=1, "Mudou")</f>
        <v>Excluido</v>
      </c>
    </row>
    <row r="533" spans="1:9" x14ac:dyDescent="0.25">
      <c r="A533" t="s">
        <v>542</v>
      </c>
      <c r="B533" s="10"/>
      <c r="C533" s="10">
        <v>0</v>
      </c>
      <c r="D533" s="11">
        <f>IF(AND(ChartTable[[#This Row],[Valor Encerrado]]=0, ChartTable[[#This Row],[Valor Ativo]]=""), 1, 0)</f>
        <v>1</v>
      </c>
      <c r="E533" s="11">
        <f>IF(AND(ChartTable[[#This Row],[Valor Ativo]]&lt;&gt;"", ChartTable[[#This Row],[Valor Encerrado]]=""), 1, 0)</f>
        <v>0</v>
      </c>
      <c r="F533" s="11">
        <f>IF(AND(ChartTable[[#This Row],[Novo?]]=0, ChartTable[[#This Row],[Valor Ativo]]&lt;&gt;ChartTable[[#This Row],[Valor Encerrado]]), 1, 0)</f>
        <v>0</v>
      </c>
      <c r="G533" s="18" t="str">
        <f>IF(ChartTable[[#This Row],[Mudou?]]=1, ChartTable[[#This Row],[Valor Encerrado]]-ChartTable[[#This Row],[Valor Ativo]], "")</f>
        <v/>
      </c>
      <c r="H533" s="11" t="str">
        <f>IF(ChartTable[[#This Row],[Mudou?]]=1, IF(ChartTable[[#This Row],[Diferença]]&gt;0, "aumentou", "diminuiu"), "")</f>
        <v/>
      </c>
      <c r="I533" s="11" t="str" cm="1">
        <f t="array" ref="I533">_xlfn.IFS(ChartTable[[#This Row],[Exluido?]]=1,"Excluido",ChartTable[[#This Row],[Novo?]]=1, "Novo", ChartTable[[#This Row],[Mudou?]]=1, "Mudou")</f>
        <v>Excluido</v>
      </c>
    </row>
    <row r="534" spans="1:9" x14ac:dyDescent="0.25">
      <c r="A534" t="s">
        <v>543</v>
      </c>
      <c r="B534" s="10"/>
      <c r="C534" s="10">
        <v>0</v>
      </c>
      <c r="D534" s="11">
        <f>IF(AND(ChartTable[[#This Row],[Valor Encerrado]]=0, ChartTable[[#This Row],[Valor Ativo]]=""), 1, 0)</f>
        <v>1</v>
      </c>
      <c r="E534" s="11">
        <f>IF(AND(ChartTable[[#This Row],[Valor Ativo]]&lt;&gt;"", ChartTable[[#This Row],[Valor Encerrado]]=""), 1, 0)</f>
        <v>0</v>
      </c>
      <c r="F534" s="11">
        <f>IF(AND(ChartTable[[#This Row],[Novo?]]=0, ChartTable[[#This Row],[Valor Ativo]]&lt;&gt;ChartTable[[#This Row],[Valor Encerrado]]), 1, 0)</f>
        <v>0</v>
      </c>
      <c r="G534" s="18" t="str">
        <f>IF(ChartTable[[#This Row],[Mudou?]]=1, ChartTable[[#This Row],[Valor Encerrado]]-ChartTable[[#This Row],[Valor Ativo]], "")</f>
        <v/>
      </c>
      <c r="H534" s="11" t="str">
        <f>IF(ChartTable[[#This Row],[Mudou?]]=1, IF(ChartTable[[#This Row],[Diferença]]&gt;0, "aumentou", "diminuiu"), "")</f>
        <v/>
      </c>
      <c r="I534" s="11" t="str" cm="1">
        <f t="array" ref="I534">_xlfn.IFS(ChartTable[[#This Row],[Exluido?]]=1,"Excluido",ChartTable[[#This Row],[Novo?]]=1, "Novo", ChartTable[[#This Row],[Mudou?]]=1, "Mudou")</f>
        <v>Excluido</v>
      </c>
    </row>
    <row r="535" spans="1:9" x14ac:dyDescent="0.25">
      <c r="A535" t="s">
        <v>544</v>
      </c>
      <c r="B535" s="10"/>
      <c r="C535" s="10">
        <v>0</v>
      </c>
      <c r="D535" s="11">
        <f>IF(AND(ChartTable[[#This Row],[Valor Encerrado]]=0, ChartTable[[#This Row],[Valor Ativo]]=""), 1, 0)</f>
        <v>1</v>
      </c>
      <c r="E535" s="11">
        <f>IF(AND(ChartTable[[#This Row],[Valor Ativo]]&lt;&gt;"", ChartTable[[#This Row],[Valor Encerrado]]=""), 1, 0)</f>
        <v>0</v>
      </c>
      <c r="F535" s="11">
        <f>IF(AND(ChartTable[[#This Row],[Novo?]]=0, ChartTable[[#This Row],[Valor Ativo]]&lt;&gt;ChartTable[[#This Row],[Valor Encerrado]]), 1, 0)</f>
        <v>0</v>
      </c>
      <c r="G535" s="18" t="str">
        <f>IF(ChartTable[[#This Row],[Mudou?]]=1, ChartTable[[#This Row],[Valor Encerrado]]-ChartTable[[#This Row],[Valor Ativo]], "")</f>
        <v/>
      </c>
      <c r="H535" s="11" t="str">
        <f>IF(ChartTable[[#This Row],[Mudou?]]=1, IF(ChartTable[[#This Row],[Diferença]]&gt;0, "aumentou", "diminuiu"), "")</f>
        <v/>
      </c>
      <c r="I535" s="11" t="str" cm="1">
        <f t="array" ref="I535">_xlfn.IFS(ChartTable[[#This Row],[Exluido?]]=1,"Excluido",ChartTable[[#This Row],[Novo?]]=1, "Novo", ChartTable[[#This Row],[Mudou?]]=1, "Mudou")</f>
        <v>Excluido</v>
      </c>
    </row>
    <row r="536" spans="1:9" x14ac:dyDescent="0.25">
      <c r="A536" t="s">
        <v>545</v>
      </c>
      <c r="B536" s="10"/>
      <c r="C536" s="10">
        <v>0</v>
      </c>
      <c r="D536" s="11">
        <f>IF(AND(ChartTable[[#This Row],[Valor Encerrado]]=0, ChartTable[[#This Row],[Valor Ativo]]=""), 1, 0)</f>
        <v>1</v>
      </c>
      <c r="E536" s="11">
        <f>IF(AND(ChartTable[[#This Row],[Valor Ativo]]&lt;&gt;"", ChartTable[[#This Row],[Valor Encerrado]]=""), 1, 0)</f>
        <v>0</v>
      </c>
      <c r="F536" s="11">
        <f>IF(AND(ChartTable[[#This Row],[Novo?]]=0, ChartTable[[#This Row],[Valor Ativo]]&lt;&gt;ChartTable[[#This Row],[Valor Encerrado]]), 1, 0)</f>
        <v>0</v>
      </c>
      <c r="G536" s="18" t="str">
        <f>IF(ChartTable[[#This Row],[Mudou?]]=1, ChartTable[[#This Row],[Valor Encerrado]]-ChartTable[[#This Row],[Valor Ativo]], "")</f>
        <v/>
      </c>
      <c r="H536" s="11" t="str">
        <f>IF(ChartTable[[#This Row],[Mudou?]]=1, IF(ChartTable[[#This Row],[Diferença]]&gt;0, "aumentou", "diminuiu"), "")</f>
        <v/>
      </c>
      <c r="I536" s="11" t="str" cm="1">
        <f t="array" ref="I536">_xlfn.IFS(ChartTable[[#This Row],[Exluido?]]=1,"Excluido",ChartTable[[#This Row],[Novo?]]=1, "Novo", ChartTable[[#This Row],[Mudou?]]=1, "Mudou")</f>
        <v>Excluido</v>
      </c>
    </row>
    <row r="537" spans="1:9" x14ac:dyDescent="0.25">
      <c r="A537" t="s">
        <v>546</v>
      </c>
      <c r="B537" s="10"/>
      <c r="C537" s="10">
        <v>0</v>
      </c>
      <c r="D537" s="11">
        <f>IF(AND(ChartTable[[#This Row],[Valor Encerrado]]=0, ChartTable[[#This Row],[Valor Ativo]]=""), 1, 0)</f>
        <v>1</v>
      </c>
      <c r="E537" s="11">
        <f>IF(AND(ChartTable[[#This Row],[Valor Ativo]]&lt;&gt;"", ChartTable[[#This Row],[Valor Encerrado]]=""), 1, 0)</f>
        <v>0</v>
      </c>
      <c r="F537" s="11">
        <f>IF(AND(ChartTable[[#This Row],[Novo?]]=0, ChartTable[[#This Row],[Valor Ativo]]&lt;&gt;ChartTable[[#This Row],[Valor Encerrado]]), 1, 0)</f>
        <v>0</v>
      </c>
      <c r="G537" s="18" t="str">
        <f>IF(ChartTable[[#This Row],[Mudou?]]=1, ChartTable[[#This Row],[Valor Encerrado]]-ChartTable[[#This Row],[Valor Ativo]], "")</f>
        <v/>
      </c>
      <c r="H537" s="11" t="str">
        <f>IF(ChartTable[[#This Row],[Mudou?]]=1, IF(ChartTable[[#This Row],[Diferença]]&gt;0, "aumentou", "diminuiu"), "")</f>
        <v/>
      </c>
      <c r="I537" s="11" t="str" cm="1">
        <f t="array" ref="I537">_xlfn.IFS(ChartTable[[#This Row],[Exluido?]]=1,"Excluido",ChartTable[[#This Row],[Novo?]]=1, "Novo", ChartTable[[#This Row],[Mudou?]]=1, "Mudou")</f>
        <v>Excluido</v>
      </c>
    </row>
    <row r="538" spans="1:9" x14ac:dyDescent="0.25">
      <c r="A538" t="s">
        <v>547</v>
      </c>
      <c r="B538" s="10"/>
      <c r="C538" s="10">
        <v>0</v>
      </c>
      <c r="D538" s="11">
        <f>IF(AND(ChartTable[[#This Row],[Valor Encerrado]]=0, ChartTable[[#This Row],[Valor Ativo]]=""), 1, 0)</f>
        <v>1</v>
      </c>
      <c r="E538" s="11">
        <f>IF(AND(ChartTable[[#This Row],[Valor Ativo]]&lt;&gt;"", ChartTable[[#This Row],[Valor Encerrado]]=""), 1, 0)</f>
        <v>0</v>
      </c>
      <c r="F538" s="11">
        <f>IF(AND(ChartTable[[#This Row],[Novo?]]=0, ChartTable[[#This Row],[Valor Ativo]]&lt;&gt;ChartTable[[#This Row],[Valor Encerrado]]), 1, 0)</f>
        <v>0</v>
      </c>
      <c r="G538" s="18" t="str">
        <f>IF(ChartTable[[#This Row],[Mudou?]]=1, ChartTable[[#This Row],[Valor Encerrado]]-ChartTable[[#This Row],[Valor Ativo]], "")</f>
        <v/>
      </c>
      <c r="H538" s="11" t="str">
        <f>IF(ChartTable[[#This Row],[Mudou?]]=1, IF(ChartTable[[#This Row],[Diferença]]&gt;0, "aumentou", "diminuiu"), "")</f>
        <v/>
      </c>
      <c r="I538" s="11" t="str" cm="1">
        <f t="array" ref="I538">_xlfn.IFS(ChartTable[[#This Row],[Exluido?]]=1,"Excluido",ChartTable[[#This Row],[Novo?]]=1, "Novo", ChartTable[[#This Row],[Mudou?]]=1, "Mudou")</f>
        <v>Excluido</v>
      </c>
    </row>
    <row r="539" spans="1:9" x14ac:dyDescent="0.25">
      <c r="A539" t="s">
        <v>548</v>
      </c>
      <c r="B539" s="10"/>
      <c r="C539" s="10">
        <v>0</v>
      </c>
      <c r="D539" s="11">
        <f>IF(AND(ChartTable[[#This Row],[Valor Encerrado]]=0, ChartTable[[#This Row],[Valor Ativo]]=""), 1, 0)</f>
        <v>1</v>
      </c>
      <c r="E539" s="11">
        <f>IF(AND(ChartTable[[#This Row],[Valor Ativo]]&lt;&gt;"", ChartTable[[#This Row],[Valor Encerrado]]=""), 1, 0)</f>
        <v>0</v>
      </c>
      <c r="F539" s="11">
        <f>IF(AND(ChartTable[[#This Row],[Novo?]]=0, ChartTable[[#This Row],[Valor Ativo]]&lt;&gt;ChartTable[[#This Row],[Valor Encerrado]]), 1, 0)</f>
        <v>0</v>
      </c>
      <c r="G539" s="18" t="str">
        <f>IF(ChartTable[[#This Row],[Mudou?]]=1, ChartTable[[#This Row],[Valor Encerrado]]-ChartTable[[#This Row],[Valor Ativo]], "")</f>
        <v/>
      </c>
      <c r="H539" s="11" t="str">
        <f>IF(ChartTable[[#This Row],[Mudou?]]=1, IF(ChartTable[[#This Row],[Diferença]]&gt;0, "aumentou", "diminuiu"), "")</f>
        <v/>
      </c>
      <c r="I539" s="11" t="str" cm="1">
        <f t="array" ref="I539">_xlfn.IFS(ChartTable[[#This Row],[Exluido?]]=1,"Excluido",ChartTable[[#This Row],[Novo?]]=1, "Novo", ChartTable[[#This Row],[Mudou?]]=1, "Mudou")</f>
        <v>Excluido</v>
      </c>
    </row>
    <row r="540" spans="1:9" x14ac:dyDescent="0.25">
      <c r="A540" t="s">
        <v>549</v>
      </c>
      <c r="B540" s="10"/>
      <c r="C540" s="10">
        <v>0</v>
      </c>
      <c r="D540" s="11">
        <f>IF(AND(ChartTable[[#This Row],[Valor Encerrado]]=0, ChartTable[[#This Row],[Valor Ativo]]=""), 1, 0)</f>
        <v>1</v>
      </c>
      <c r="E540" s="11">
        <f>IF(AND(ChartTable[[#This Row],[Valor Ativo]]&lt;&gt;"", ChartTable[[#This Row],[Valor Encerrado]]=""), 1, 0)</f>
        <v>0</v>
      </c>
      <c r="F540" s="11">
        <f>IF(AND(ChartTable[[#This Row],[Novo?]]=0, ChartTable[[#This Row],[Valor Ativo]]&lt;&gt;ChartTable[[#This Row],[Valor Encerrado]]), 1, 0)</f>
        <v>0</v>
      </c>
      <c r="G540" s="18" t="str">
        <f>IF(ChartTable[[#This Row],[Mudou?]]=1, ChartTable[[#This Row],[Valor Encerrado]]-ChartTable[[#This Row],[Valor Ativo]], "")</f>
        <v/>
      </c>
      <c r="H540" s="11" t="str">
        <f>IF(ChartTable[[#This Row],[Mudou?]]=1, IF(ChartTable[[#This Row],[Diferença]]&gt;0, "aumentou", "diminuiu"), "")</f>
        <v/>
      </c>
      <c r="I540" s="11" t="str" cm="1">
        <f t="array" ref="I540">_xlfn.IFS(ChartTable[[#This Row],[Exluido?]]=1,"Excluido",ChartTable[[#This Row],[Novo?]]=1, "Novo", ChartTable[[#This Row],[Mudou?]]=1, "Mudou")</f>
        <v>Excluido</v>
      </c>
    </row>
    <row r="541" spans="1:9" x14ac:dyDescent="0.25">
      <c r="A541" t="s">
        <v>550</v>
      </c>
      <c r="B541" s="10"/>
      <c r="C541" s="10">
        <v>0</v>
      </c>
      <c r="D541" s="11">
        <f>IF(AND(ChartTable[[#This Row],[Valor Encerrado]]=0, ChartTable[[#This Row],[Valor Ativo]]=""), 1, 0)</f>
        <v>1</v>
      </c>
      <c r="E541" s="11">
        <f>IF(AND(ChartTable[[#This Row],[Valor Ativo]]&lt;&gt;"", ChartTable[[#This Row],[Valor Encerrado]]=""), 1, 0)</f>
        <v>0</v>
      </c>
      <c r="F541" s="11">
        <f>IF(AND(ChartTable[[#This Row],[Novo?]]=0, ChartTable[[#This Row],[Valor Ativo]]&lt;&gt;ChartTable[[#This Row],[Valor Encerrado]]), 1, 0)</f>
        <v>0</v>
      </c>
      <c r="G541" s="18" t="str">
        <f>IF(ChartTable[[#This Row],[Mudou?]]=1, ChartTable[[#This Row],[Valor Encerrado]]-ChartTable[[#This Row],[Valor Ativo]], "")</f>
        <v/>
      </c>
      <c r="H541" s="11" t="str">
        <f>IF(ChartTable[[#This Row],[Mudou?]]=1, IF(ChartTable[[#This Row],[Diferença]]&gt;0, "aumentou", "diminuiu"), "")</f>
        <v/>
      </c>
      <c r="I541" s="11" t="str" cm="1">
        <f t="array" ref="I541">_xlfn.IFS(ChartTable[[#This Row],[Exluido?]]=1,"Excluido",ChartTable[[#This Row],[Novo?]]=1, "Novo", ChartTable[[#This Row],[Mudou?]]=1, "Mudou")</f>
        <v>Excluido</v>
      </c>
    </row>
    <row r="542" spans="1:9" x14ac:dyDescent="0.25">
      <c r="A542" t="s">
        <v>551</v>
      </c>
      <c r="B542" s="10"/>
      <c r="C542" s="10">
        <v>0</v>
      </c>
      <c r="D542" s="11">
        <f>IF(AND(ChartTable[[#This Row],[Valor Encerrado]]=0, ChartTable[[#This Row],[Valor Ativo]]=""), 1, 0)</f>
        <v>1</v>
      </c>
      <c r="E542" s="11">
        <f>IF(AND(ChartTable[[#This Row],[Valor Ativo]]&lt;&gt;"", ChartTable[[#This Row],[Valor Encerrado]]=""), 1, 0)</f>
        <v>0</v>
      </c>
      <c r="F542" s="11">
        <f>IF(AND(ChartTable[[#This Row],[Novo?]]=0, ChartTable[[#This Row],[Valor Ativo]]&lt;&gt;ChartTable[[#This Row],[Valor Encerrado]]), 1, 0)</f>
        <v>0</v>
      </c>
      <c r="G542" s="18" t="str">
        <f>IF(ChartTable[[#This Row],[Mudou?]]=1, ChartTable[[#This Row],[Valor Encerrado]]-ChartTable[[#This Row],[Valor Ativo]], "")</f>
        <v/>
      </c>
      <c r="H542" s="11" t="str">
        <f>IF(ChartTable[[#This Row],[Mudou?]]=1, IF(ChartTable[[#This Row],[Diferença]]&gt;0, "aumentou", "diminuiu"), "")</f>
        <v/>
      </c>
      <c r="I542" s="11" t="str" cm="1">
        <f t="array" ref="I542">_xlfn.IFS(ChartTable[[#This Row],[Exluido?]]=1,"Excluido",ChartTable[[#This Row],[Novo?]]=1, "Novo", ChartTable[[#This Row],[Mudou?]]=1, "Mudou")</f>
        <v>Excluido</v>
      </c>
    </row>
    <row r="543" spans="1:9" x14ac:dyDescent="0.25">
      <c r="A543" t="s">
        <v>552</v>
      </c>
      <c r="B543" s="10"/>
      <c r="C543" s="10">
        <v>0</v>
      </c>
      <c r="D543" s="11">
        <f>IF(AND(ChartTable[[#This Row],[Valor Encerrado]]=0, ChartTable[[#This Row],[Valor Ativo]]=""), 1, 0)</f>
        <v>1</v>
      </c>
      <c r="E543" s="11">
        <f>IF(AND(ChartTable[[#This Row],[Valor Ativo]]&lt;&gt;"", ChartTable[[#This Row],[Valor Encerrado]]=""), 1, 0)</f>
        <v>0</v>
      </c>
      <c r="F543" s="11">
        <f>IF(AND(ChartTable[[#This Row],[Novo?]]=0, ChartTable[[#This Row],[Valor Ativo]]&lt;&gt;ChartTable[[#This Row],[Valor Encerrado]]), 1, 0)</f>
        <v>0</v>
      </c>
      <c r="G543" s="18" t="str">
        <f>IF(ChartTable[[#This Row],[Mudou?]]=1, ChartTable[[#This Row],[Valor Encerrado]]-ChartTable[[#This Row],[Valor Ativo]], "")</f>
        <v/>
      </c>
      <c r="H543" s="11" t="str">
        <f>IF(ChartTable[[#This Row],[Mudou?]]=1, IF(ChartTable[[#This Row],[Diferença]]&gt;0, "aumentou", "diminuiu"), "")</f>
        <v/>
      </c>
      <c r="I543" s="11" t="str" cm="1">
        <f t="array" ref="I543">_xlfn.IFS(ChartTable[[#This Row],[Exluido?]]=1,"Excluido",ChartTable[[#This Row],[Novo?]]=1, "Novo", ChartTable[[#This Row],[Mudou?]]=1, "Mudou")</f>
        <v>Excluido</v>
      </c>
    </row>
    <row r="544" spans="1:9" x14ac:dyDescent="0.25">
      <c r="A544" t="s">
        <v>553</v>
      </c>
      <c r="B544" s="10"/>
      <c r="C544" s="10">
        <v>0</v>
      </c>
      <c r="D544" s="11">
        <f>IF(AND(ChartTable[[#This Row],[Valor Encerrado]]=0, ChartTable[[#This Row],[Valor Ativo]]=""), 1, 0)</f>
        <v>1</v>
      </c>
      <c r="E544" s="11">
        <f>IF(AND(ChartTable[[#This Row],[Valor Ativo]]&lt;&gt;"", ChartTable[[#This Row],[Valor Encerrado]]=""), 1, 0)</f>
        <v>0</v>
      </c>
      <c r="F544" s="11">
        <f>IF(AND(ChartTable[[#This Row],[Novo?]]=0, ChartTable[[#This Row],[Valor Ativo]]&lt;&gt;ChartTable[[#This Row],[Valor Encerrado]]), 1, 0)</f>
        <v>0</v>
      </c>
      <c r="G544" s="18" t="str">
        <f>IF(ChartTable[[#This Row],[Mudou?]]=1, ChartTable[[#This Row],[Valor Encerrado]]-ChartTable[[#This Row],[Valor Ativo]], "")</f>
        <v/>
      </c>
      <c r="H544" s="11" t="str">
        <f>IF(ChartTable[[#This Row],[Mudou?]]=1, IF(ChartTable[[#This Row],[Diferença]]&gt;0, "aumentou", "diminuiu"), "")</f>
        <v/>
      </c>
      <c r="I544" s="11" t="str" cm="1">
        <f t="array" ref="I544">_xlfn.IFS(ChartTable[[#This Row],[Exluido?]]=1,"Excluido",ChartTable[[#This Row],[Novo?]]=1, "Novo", ChartTable[[#This Row],[Mudou?]]=1, "Mudou")</f>
        <v>Excluido</v>
      </c>
    </row>
    <row r="545" spans="1:9" x14ac:dyDescent="0.25">
      <c r="A545" t="s">
        <v>554</v>
      </c>
      <c r="B545" s="10"/>
      <c r="C545" s="10">
        <v>0</v>
      </c>
      <c r="D545" s="11">
        <f>IF(AND(ChartTable[[#This Row],[Valor Encerrado]]=0, ChartTable[[#This Row],[Valor Ativo]]=""), 1, 0)</f>
        <v>1</v>
      </c>
      <c r="E545" s="11">
        <f>IF(AND(ChartTable[[#This Row],[Valor Ativo]]&lt;&gt;"", ChartTable[[#This Row],[Valor Encerrado]]=""), 1, 0)</f>
        <v>0</v>
      </c>
      <c r="F545" s="11">
        <f>IF(AND(ChartTable[[#This Row],[Novo?]]=0, ChartTable[[#This Row],[Valor Ativo]]&lt;&gt;ChartTable[[#This Row],[Valor Encerrado]]), 1, 0)</f>
        <v>0</v>
      </c>
      <c r="G545" s="18" t="str">
        <f>IF(ChartTable[[#This Row],[Mudou?]]=1, ChartTable[[#This Row],[Valor Encerrado]]-ChartTable[[#This Row],[Valor Ativo]], "")</f>
        <v/>
      </c>
      <c r="H545" s="11" t="str">
        <f>IF(ChartTable[[#This Row],[Mudou?]]=1, IF(ChartTable[[#This Row],[Diferença]]&gt;0, "aumentou", "diminuiu"), "")</f>
        <v/>
      </c>
      <c r="I545" s="11" t="str" cm="1">
        <f t="array" ref="I545">_xlfn.IFS(ChartTable[[#This Row],[Exluido?]]=1,"Excluido",ChartTable[[#This Row],[Novo?]]=1, "Novo", ChartTable[[#This Row],[Mudou?]]=1, "Mudou")</f>
        <v>Excluido</v>
      </c>
    </row>
    <row r="546" spans="1:9" x14ac:dyDescent="0.25">
      <c r="A546" t="s">
        <v>555</v>
      </c>
      <c r="B546" s="10"/>
      <c r="C546" s="10">
        <v>0</v>
      </c>
      <c r="D546" s="11">
        <f>IF(AND(ChartTable[[#This Row],[Valor Encerrado]]=0, ChartTable[[#This Row],[Valor Ativo]]=""), 1, 0)</f>
        <v>1</v>
      </c>
      <c r="E546" s="11">
        <f>IF(AND(ChartTable[[#This Row],[Valor Ativo]]&lt;&gt;"", ChartTable[[#This Row],[Valor Encerrado]]=""), 1, 0)</f>
        <v>0</v>
      </c>
      <c r="F546" s="11">
        <f>IF(AND(ChartTable[[#This Row],[Novo?]]=0, ChartTable[[#This Row],[Valor Ativo]]&lt;&gt;ChartTable[[#This Row],[Valor Encerrado]]), 1, 0)</f>
        <v>0</v>
      </c>
      <c r="G546" s="18" t="str">
        <f>IF(ChartTable[[#This Row],[Mudou?]]=1, ChartTable[[#This Row],[Valor Encerrado]]-ChartTable[[#This Row],[Valor Ativo]], "")</f>
        <v/>
      </c>
      <c r="H546" s="11" t="str">
        <f>IF(ChartTable[[#This Row],[Mudou?]]=1, IF(ChartTable[[#This Row],[Diferença]]&gt;0, "aumentou", "diminuiu"), "")</f>
        <v/>
      </c>
      <c r="I546" s="11" t="str" cm="1">
        <f t="array" ref="I546">_xlfn.IFS(ChartTable[[#This Row],[Exluido?]]=1,"Excluido",ChartTable[[#This Row],[Novo?]]=1, "Novo", ChartTable[[#This Row],[Mudou?]]=1, "Mudou")</f>
        <v>Excluido</v>
      </c>
    </row>
    <row r="547" spans="1:9" x14ac:dyDescent="0.25">
      <c r="A547" t="s">
        <v>556</v>
      </c>
      <c r="B547" s="10"/>
      <c r="C547" s="10">
        <v>0</v>
      </c>
      <c r="D547" s="11">
        <f>IF(AND(ChartTable[[#This Row],[Valor Encerrado]]=0, ChartTable[[#This Row],[Valor Ativo]]=""), 1, 0)</f>
        <v>1</v>
      </c>
      <c r="E547" s="11">
        <f>IF(AND(ChartTable[[#This Row],[Valor Ativo]]&lt;&gt;"", ChartTable[[#This Row],[Valor Encerrado]]=""), 1, 0)</f>
        <v>0</v>
      </c>
      <c r="F547" s="11">
        <f>IF(AND(ChartTable[[#This Row],[Novo?]]=0, ChartTable[[#This Row],[Valor Ativo]]&lt;&gt;ChartTable[[#This Row],[Valor Encerrado]]), 1, 0)</f>
        <v>0</v>
      </c>
      <c r="G547" s="18" t="str">
        <f>IF(ChartTable[[#This Row],[Mudou?]]=1, ChartTable[[#This Row],[Valor Encerrado]]-ChartTable[[#This Row],[Valor Ativo]], "")</f>
        <v/>
      </c>
      <c r="H547" s="11" t="str">
        <f>IF(ChartTable[[#This Row],[Mudou?]]=1, IF(ChartTable[[#This Row],[Diferença]]&gt;0, "aumentou", "diminuiu"), "")</f>
        <v/>
      </c>
      <c r="I547" s="11" t="str" cm="1">
        <f t="array" ref="I547">_xlfn.IFS(ChartTable[[#This Row],[Exluido?]]=1,"Excluido",ChartTable[[#This Row],[Novo?]]=1, "Novo", ChartTable[[#This Row],[Mudou?]]=1, "Mudou")</f>
        <v>Excluido</v>
      </c>
    </row>
    <row r="548" spans="1:9" x14ac:dyDescent="0.25">
      <c r="A548" t="s">
        <v>557</v>
      </c>
      <c r="B548" s="10"/>
      <c r="C548" s="10">
        <v>0</v>
      </c>
      <c r="D548" s="11">
        <f>IF(AND(ChartTable[[#This Row],[Valor Encerrado]]=0, ChartTable[[#This Row],[Valor Ativo]]=""), 1, 0)</f>
        <v>1</v>
      </c>
      <c r="E548" s="11">
        <f>IF(AND(ChartTable[[#This Row],[Valor Ativo]]&lt;&gt;"", ChartTable[[#This Row],[Valor Encerrado]]=""), 1, 0)</f>
        <v>0</v>
      </c>
      <c r="F548" s="11">
        <f>IF(AND(ChartTable[[#This Row],[Novo?]]=0, ChartTable[[#This Row],[Valor Ativo]]&lt;&gt;ChartTable[[#This Row],[Valor Encerrado]]), 1, 0)</f>
        <v>0</v>
      </c>
      <c r="G548" s="18" t="str">
        <f>IF(ChartTable[[#This Row],[Mudou?]]=1, ChartTable[[#This Row],[Valor Encerrado]]-ChartTable[[#This Row],[Valor Ativo]], "")</f>
        <v/>
      </c>
      <c r="H548" s="11" t="str">
        <f>IF(ChartTable[[#This Row],[Mudou?]]=1, IF(ChartTable[[#This Row],[Diferença]]&gt;0, "aumentou", "diminuiu"), "")</f>
        <v/>
      </c>
      <c r="I548" s="11" t="str" cm="1">
        <f t="array" ref="I548">_xlfn.IFS(ChartTable[[#This Row],[Exluido?]]=1,"Excluido",ChartTable[[#This Row],[Novo?]]=1, "Novo", ChartTable[[#This Row],[Mudou?]]=1, "Mudou")</f>
        <v>Excluido</v>
      </c>
    </row>
    <row r="549" spans="1:9" x14ac:dyDescent="0.25">
      <c r="A549" t="s">
        <v>558</v>
      </c>
      <c r="B549" s="10"/>
      <c r="C549" s="10">
        <v>0</v>
      </c>
      <c r="D549" s="11">
        <f>IF(AND(ChartTable[[#This Row],[Valor Encerrado]]=0, ChartTable[[#This Row],[Valor Ativo]]=""), 1, 0)</f>
        <v>1</v>
      </c>
      <c r="E549" s="11">
        <f>IF(AND(ChartTable[[#This Row],[Valor Ativo]]&lt;&gt;"", ChartTable[[#This Row],[Valor Encerrado]]=""), 1, 0)</f>
        <v>0</v>
      </c>
      <c r="F549" s="11">
        <f>IF(AND(ChartTable[[#This Row],[Novo?]]=0, ChartTable[[#This Row],[Valor Ativo]]&lt;&gt;ChartTable[[#This Row],[Valor Encerrado]]), 1, 0)</f>
        <v>0</v>
      </c>
      <c r="G549" s="18" t="str">
        <f>IF(ChartTable[[#This Row],[Mudou?]]=1, ChartTable[[#This Row],[Valor Encerrado]]-ChartTable[[#This Row],[Valor Ativo]], "")</f>
        <v/>
      </c>
      <c r="H549" s="11" t="str">
        <f>IF(ChartTable[[#This Row],[Mudou?]]=1, IF(ChartTable[[#This Row],[Diferença]]&gt;0, "aumentou", "diminuiu"), "")</f>
        <v/>
      </c>
      <c r="I549" s="11" t="str" cm="1">
        <f t="array" ref="I549">_xlfn.IFS(ChartTable[[#This Row],[Exluido?]]=1,"Excluido",ChartTable[[#This Row],[Novo?]]=1, "Novo", ChartTable[[#This Row],[Mudou?]]=1, "Mudou")</f>
        <v>Excluido</v>
      </c>
    </row>
    <row r="550" spans="1:9" x14ac:dyDescent="0.25">
      <c r="A550" t="s">
        <v>559</v>
      </c>
      <c r="B550" s="10"/>
      <c r="C550" s="10">
        <v>0</v>
      </c>
      <c r="D550" s="11">
        <f>IF(AND(ChartTable[[#This Row],[Valor Encerrado]]=0, ChartTable[[#This Row],[Valor Ativo]]=""), 1, 0)</f>
        <v>1</v>
      </c>
      <c r="E550" s="11">
        <f>IF(AND(ChartTable[[#This Row],[Valor Ativo]]&lt;&gt;"", ChartTable[[#This Row],[Valor Encerrado]]=""), 1, 0)</f>
        <v>0</v>
      </c>
      <c r="F550" s="11">
        <f>IF(AND(ChartTable[[#This Row],[Novo?]]=0, ChartTable[[#This Row],[Valor Ativo]]&lt;&gt;ChartTable[[#This Row],[Valor Encerrado]]), 1, 0)</f>
        <v>0</v>
      </c>
      <c r="G550" s="18" t="str">
        <f>IF(ChartTable[[#This Row],[Mudou?]]=1, ChartTable[[#This Row],[Valor Encerrado]]-ChartTable[[#This Row],[Valor Ativo]], "")</f>
        <v/>
      </c>
      <c r="H550" s="11" t="str">
        <f>IF(ChartTable[[#This Row],[Mudou?]]=1, IF(ChartTable[[#This Row],[Diferença]]&gt;0, "aumentou", "diminuiu"), "")</f>
        <v/>
      </c>
      <c r="I550" s="11" t="str" cm="1">
        <f t="array" ref="I550">_xlfn.IFS(ChartTable[[#This Row],[Exluido?]]=1,"Excluido",ChartTable[[#This Row],[Novo?]]=1, "Novo", ChartTable[[#This Row],[Mudou?]]=1, "Mudou")</f>
        <v>Excluido</v>
      </c>
    </row>
    <row r="551" spans="1:9" x14ac:dyDescent="0.25">
      <c r="A551" t="s">
        <v>560</v>
      </c>
      <c r="B551" s="10"/>
      <c r="C551" s="10">
        <v>0</v>
      </c>
      <c r="D551" s="11">
        <f>IF(AND(ChartTable[[#This Row],[Valor Encerrado]]=0, ChartTable[[#This Row],[Valor Ativo]]=""), 1, 0)</f>
        <v>1</v>
      </c>
      <c r="E551" s="11">
        <f>IF(AND(ChartTable[[#This Row],[Valor Ativo]]&lt;&gt;"", ChartTable[[#This Row],[Valor Encerrado]]=""), 1, 0)</f>
        <v>0</v>
      </c>
      <c r="F551" s="11">
        <f>IF(AND(ChartTable[[#This Row],[Novo?]]=0, ChartTable[[#This Row],[Valor Ativo]]&lt;&gt;ChartTable[[#This Row],[Valor Encerrado]]), 1, 0)</f>
        <v>0</v>
      </c>
      <c r="G551" s="18" t="str">
        <f>IF(ChartTable[[#This Row],[Mudou?]]=1, ChartTable[[#This Row],[Valor Encerrado]]-ChartTable[[#This Row],[Valor Ativo]], "")</f>
        <v/>
      </c>
      <c r="H551" s="11" t="str">
        <f>IF(ChartTable[[#This Row],[Mudou?]]=1, IF(ChartTable[[#This Row],[Diferença]]&gt;0, "aumentou", "diminuiu"), "")</f>
        <v/>
      </c>
      <c r="I551" s="11" t="str" cm="1">
        <f t="array" ref="I551">_xlfn.IFS(ChartTable[[#This Row],[Exluido?]]=1,"Excluido",ChartTable[[#This Row],[Novo?]]=1, "Novo", ChartTable[[#This Row],[Mudou?]]=1, "Mudou")</f>
        <v>Excluido</v>
      </c>
    </row>
    <row r="552" spans="1:9" x14ac:dyDescent="0.25">
      <c r="A552" t="s">
        <v>561</v>
      </c>
      <c r="B552" s="10"/>
      <c r="C552" s="10">
        <v>0</v>
      </c>
      <c r="D552" s="11">
        <f>IF(AND(ChartTable[[#This Row],[Valor Encerrado]]=0, ChartTable[[#This Row],[Valor Ativo]]=""), 1, 0)</f>
        <v>1</v>
      </c>
      <c r="E552" s="11">
        <f>IF(AND(ChartTable[[#This Row],[Valor Ativo]]&lt;&gt;"", ChartTable[[#This Row],[Valor Encerrado]]=""), 1, 0)</f>
        <v>0</v>
      </c>
      <c r="F552" s="11">
        <f>IF(AND(ChartTable[[#This Row],[Novo?]]=0, ChartTable[[#This Row],[Valor Ativo]]&lt;&gt;ChartTable[[#This Row],[Valor Encerrado]]), 1, 0)</f>
        <v>0</v>
      </c>
      <c r="G552" s="18" t="str">
        <f>IF(ChartTable[[#This Row],[Mudou?]]=1, ChartTable[[#This Row],[Valor Encerrado]]-ChartTable[[#This Row],[Valor Ativo]], "")</f>
        <v/>
      </c>
      <c r="H552" s="11" t="str">
        <f>IF(ChartTable[[#This Row],[Mudou?]]=1, IF(ChartTable[[#This Row],[Diferença]]&gt;0, "aumentou", "diminuiu"), "")</f>
        <v/>
      </c>
      <c r="I552" s="11" t="str" cm="1">
        <f t="array" ref="I552">_xlfn.IFS(ChartTable[[#This Row],[Exluido?]]=1,"Excluido",ChartTable[[#This Row],[Novo?]]=1, "Novo", ChartTable[[#This Row],[Mudou?]]=1, "Mudou")</f>
        <v>Excluido</v>
      </c>
    </row>
    <row r="553" spans="1:9" x14ac:dyDescent="0.25">
      <c r="A553" t="s">
        <v>562</v>
      </c>
      <c r="B553" s="10"/>
      <c r="C553" s="10">
        <v>0</v>
      </c>
      <c r="D553" s="11">
        <f>IF(AND(ChartTable[[#This Row],[Valor Encerrado]]=0, ChartTable[[#This Row],[Valor Ativo]]=""), 1, 0)</f>
        <v>1</v>
      </c>
      <c r="E553" s="11">
        <f>IF(AND(ChartTable[[#This Row],[Valor Ativo]]&lt;&gt;"", ChartTable[[#This Row],[Valor Encerrado]]=""), 1, 0)</f>
        <v>0</v>
      </c>
      <c r="F553" s="11">
        <f>IF(AND(ChartTable[[#This Row],[Novo?]]=0, ChartTable[[#This Row],[Valor Ativo]]&lt;&gt;ChartTable[[#This Row],[Valor Encerrado]]), 1, 0)</f>
        <v>0</v>
      </c>
      <c r="G553" s="18" t="str">
        <f>IF(ChartTable[[#This Row],[Mudou?]]=1, ChartTable[[#This Row],[Valor Encerrado]]-ChartTable[[#This Row],[Valor Ativo]], "")</f>
        <v/>
      </c>
      <c r="H553" s="11" t="str">
        <f>IF(ChartTable[[#This Row],[Mudou?]]=1, IF(ChartTable[[#This Row],[Diferença]]&gt;0, "aumentou", "diminuiu"), "")</f>
        <v/>
      </c>
      <c r="I553" s="11" t="str" cm="1">
        <f t="array" ref="I553">_xlfn.IFS(ChartTable[[#This Row],[Exluido?]]=1,"Excluido",ChartTable[[#This Row],[Novo?]]=1, "Novo", ChartTable[[#This Row],[Mudou?]]=1, "Mudou")</f>
        <v>Excluido</v>
      </c>
    </row>
    <row r="554" spans="1:9" x14ac:dyDescent="0.25">
      <c r="A554" t="s">
        <v>563</v>
      </c>
      <c r="B554" s="10"/>
      <c r="C554" s="10">
        <v>0</v>
      </c>
      <c r="D554" s="11">
        <f>IF(AND(ChartTable[[#This Row],[Valor Encerrado]]=0, ChartTable[[#This Row],[Valor Ativo]]=""), 1, 0)</f>
        <v>1</v>
      </c>
      <c r="E554" s="11">
        <f>IF(AND(ChartTable[[#This Row],[Valor Ativo]]&lt;&gt;"", ChartTable[[#This Row],[Valor Encerrado]]=""), 1, 0)</f>
        <v>0</v>
      </c>
      <c r="F554" s="11">
        <f>IF(AND(ChartTable[[#This Row],[Novo?]]=0, ChartTable[[#This Row],[Valor Ativo]]&lt;&gt;ChartTable[[#This Row],[Valor Encerrado]]), 1, 0)</f>
        <v>0</v>
      </c>
      <c r="G554" s="18" t="str">
        <f>IF(ChartTable[[#This Row],[Mudou?]]=1, ChartTable[[#This Row],[Valor Encerrado]]-ChartTable[[#This Row],[Valor Ativo]], "")</f>
        <v/>
      </c>
      <c r="H554" s="11" t="str">
        <f>IF(ChartTable[[#This Row],[Mudou?]]=1, IF(ChartTable[[#This Row],[Diferença]]&gt;0, "aumentou", "diminuiu"), "")</f>
        <v/>
      </c>
      <c r="I554" s="11" t="str" cm="1">
        <f t="array" ref="I554">_xlfn.IFS(ChartTable[[#This Row],[Exluido?]]=1,"Excluido",ChartTable[[#This Row],[Novo?]]=1, "Novo", ChartTable[[#This Row],[Mudou?]]=1, "Mudou")</f>
        <v>Excluido</v>
      </c>
    </row>
    <row r="555" spans="1:9" x14ac:dyDescent="0.25">
      <c r="A555" t="s">
        <v>564</v>
      </c>
      <c r="B555" s="10"/>
      <c r="C555" s="10">
        <v>0</v>
      </c>
      <c r="D555" s="11">
        <f>IF(AND(ChartTable[[#This Row],[Valor Encerrado]]=0, ChartTable[[#This Row],[Valor Ativo]]=""), 1, 0)</f>
        <v>1</v>
      </c>
      <c r="E555" s="11">
        <f>IF(AND(ChartTable[[#This Row],[Valor Ativo]]&lt;&gt;"", ChartTable[[#This Row],[Valor Encerrado]]=""), 1, 0)</f>
        <v>0</v>
      </c>
      <c r="F555" s="11">
        <f>IF(AND(ChartTable[[#This Row],[Novo?]]=0, ChartTable[[#This Row],[Valor Ativo]]&lt;&gt;ChartTable[[#This Row],[Valor Encerrado]]), 1, 0)</f>
        <v>0</v>
      </c>
      <c r="G555" s="18" t="str">
        <f>IF(ChartTable[[#This Row],[Mudou?]]=1, ChartTable[[#This Row],[Valor Encerrado]]-ChartTable[[#This Row],[Valor Ativo]], "")</f>
        <v/>
      </c>
      <c r="H555" s="11" t="str">
        <f>IF(ChartTable[[#This Row],[Mudou?]]=1, IF(ChartTable[[#This Row],[Diferença]]&gt;0, "aumentou", "diminuiu"), "")</f>
        <v/>
      </c>
      <c r="I555" s="11" t="str" cm="1">
        <f t="array" ref="I555">_xlfn.IFS(ChartTable[[#This Row],[Exluido?]]=1,"Excluido",ChartTable[[#This Row],[Novo?]]=1, "Novo", ChartTable[[#This Row],[Mudou?]]=1, "Mudou")</f>
        <v>Excluido</v>
      </c>
    </row>
    <row r="556" spans="1:9" x14ac:dyDescent="0.25">
      <c r="A556" t="s">
        <v>565</v>
      </c>
      <c r="B556" s="10"/>
      <c r="C556" s="10">
        <v>0</v>
      </c>
      <c r="D556" s="11">
        <f>IF(AND(ChartTable[[#This Row],[Valor Encerrado]]=0, ChartTable[[#This Row],[Valor Ativo]]=""), 1, 0)</f>
        <v>1</v>
      </c>
      <c r="E556" s="11">
        <f>IF(AND(ChartTable[[#This Row],[Valor Ativo]]&lt;&gt;"", ChartTable[[#This Row],[Valor Encerrado]]=""), 1, 0)</f>
        <v>0</v>
      </c>
      <c r="F556" s="11">
        <f>IF(AND(ChartTable[[#This Row],[Novo?]]=0, ChartTable[[#This Row],[Valor Ativo]]&lt;&gt;ChartTable[[#This Row],[Valor Encerrado]]), 1, 0)</f>
        <v>0</v>
      </c>
      <c r="G556" s="18" t="str">
        <f>IF(ChartTable[[#This Row],[Mudou?]]=1, ChartTable[[#This Row],[Valor Encerrado]]-ChartTable[[#This Row],[Valor Ativo]], "")</f>
        <v/>
      </c>
      <c r="H556" s="11" t="str">
        <f>IF(ChartTable[[#This Row],[Mudou?]]=1, IF(ChartTable[[#This Row],[Diferença]]&gt;0, "aumentou", "diminuiu"), "")</f>
        <v/>
      </c>
      <c r="I556" s="11" t="str" cm="1">
        <f t="array" ref="I556">_xlfn.IFS(ChartTable[[#This Row],[Exluido?]]=1,"Excluido",ChartTable[[#This Row],[Novo?]]=1, "Novo", ChartTable[[#This Row],[Mudou?]]=1, "Mudou")</f>
        <v>Excluido</v>
      </c>
    </row>
    <row r="557" spans="1:9" x14ac:dyDescent="0.25">
      <c r="A557" t="s">
        <v>566</v>
      </c>
      <c r="B557" s="10"/>
      <c r="C557" s="10">
        <v>0</v>
      </c>
      <c r="D557" s="11">
        <f>IF(AND(ChartTable[[#This Row],[Valor Encerrado]]=0, ChartTable[[#This Row],[Valor Ativo]]=""), 1, 0)</f>
        <v>1</v>
      </c>
      <c r="E557" s="11">
        <f>IF(AND(ChartTable[[#This Row],[Valor Ativo]]&lt;&gt;"", ChartTable[[#This Row],[Valor Encerrado]]=""), 1, 0)</f>
        <v>0</v>
      </c>
      <c r="F557" s="11">
        <f>IF(AND(ChartTable[[#This Row],[Novo?]]=0, ChartTable[[#This Row],[Valor Ativo]]&lt;&gt;ChartTable[[#This Row],[Valor Encerrado]]), 1, 0)</f>
        <v>0</v>
      </c>
      <c r="G557" s="18" t="str">
        <f>IF(ChartTable[[#This Row],[Mudou?]]=1, ChartTable[[#This Row],[Valor Encerrado]]-ChartTable[[#This Row],[Valor Ativo]], "")</f>
        <v/>
      </c>
      <c r="H557" s="11" t="str">
        <f>IF(ChartTable[[#This Row],[Mudou?]]=1, IF(ChartTable[[#This Row],[Diferença]]&gt;0, "aumentou", "diminuiu"), "")</f>
        <v/>
      </c>
      <c r="I557" s="11" t="str" cm="1">
        <f t="array" ref="I557">_xlfn.IFS(ChartTable[[#This Row],[Exluido?]]=1,"Excluido",ChartTable[[#This Row],[Novo?]]=1, "Novo", ChartTable[[#This Row],[Mudou?]]=1, "Mudou")</f>
        <v>Excluido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D2925-DA54-4720-9A23-E86974447627}">
  <sheetPr codeName="Planilha5"/>
  <dimension ref="A1:O11"/>
  <sheetViews>
    <sheetView topLeftCell="H1" workbookViewId="0">
      <selection activeCell="O14" sqref="O14"/>
    </sheetView>
  </sheetViews>
  <sheetFormatPr defaultRowHeight="15" x14ac:dyDescent="0.25"/>
  <cols>
    <col min="1" max="1" width="10.42578125" bestFit="1" customWidth="1"/>
    <col min="2" max="2" width="11.42578125" bestFit="1" customWidth="1"/>
    <col min="3" max="3" width="10.5703125" bestFit="1" customWidth="1"/>
    <col min="5" max="5" width="9.140625" style="14"/>
    <col min="6" max="6" width="26" style="14" bestFit="1" customWidth="1"/>
    <col min="7" max="7" width="18" style="14" bestFit="1" customWidth="1"/>
    <col min="10" max="10" width="26" bestFit="1" customWidth="1"/>
    <col min="11" max="11" width="18" bestFit="1" customWidth="1"/>
    <col min="13" max="13" width="24.42578125" bestFit="1" customWidth="1"/>
    <col min="14" max="14" width="24.42578125" customWidth="1"/>
    <col min="15" max="15" width="18" style="10" bestFit="1" customWidth="1"/>
  </cols>
  <sheetData>
    <row r="1" spans="1:15" x14ac:dyDescent="0.25">
      <c r="B1" s="8" t="s">
        <v>582</v>
      </c>
      <c r="C1" s="8" t="s">
        <v>583</v>
      </c>
      <c r="E1" s="16" t="s">
        <v>584</v>
      </c>
      <c r="F1" s="17"/>
      <c r="G1" s="17"/>
      <c r="I1" s="16" t="s">
        <v>585</v>
      </c>
      <c r="J1" s="17"/>
      <c r="K1" s="17"/>
      <c r="M1" s="16" t="s">
        <v>588</v>
      </c>
      <c r="N1" s="17"/>
      <c r="O1" s="17"/>
    </row>
    <row r="2" spans="1:15" x14ac:dyDescent="0.25">
      <c r="A2" s="8" t="s">
        <v>570</v>
      </c>
      <c r="B2" s="12">
        <f>SUBTOTAL(109, ChartTable[Exluido?])</f>
        <v>32</v>
      </c>
      <c r="C2" s="13" cm="1">
        <f t="array" ref="C2:C4">B2:B4/B5</f>
        <v>5.7553956834532377E-2</v>
      </c>
      <c r="E2" s="12">
        <v>1</v>
      </c>
      <c r="F2" s="15" t="str" cm="1">
        <f t="array" ref="F2:F11">IFERROR(_xlfn.XLOOKUP(_xlfn.ANCHORARRAY(G2), ChartTable[Valor Ativo], ChartTable[Processo]), "")</f>
        <v>0000020-01.2021.8.26.0001</v>
      </c>
      <c r="G2" s="15" cm="1">
        <f t="array" ref="G2:G11">IFERROR(LARGE(_xlfn._xlws.FILTER(ChartTable[Valor Ativo], ChartTable[Novo?]=1), E2:E11), "")</f>
        <v>303298018.80739778</v>
      </c>
      <c r="I2" s="12">
        <v>1</v>
      </c>
      <c r="J2" s="15" t="str" cm="1">
        <f t="array" ref="J2:J11">IFERROR(_xlfn.XLOOKUP(_xlfn.ANCHORARRAY(K2), ChartTable[Valor Encerrado], ChartTable[Processo]), "")</f>
        <v>0000524-01.2021.8.26.0001</v>
      </c>
      <c r="K2" s="15" cm="1">
        <f t="array" ref="K2:K11">IFERROR(LARGE(_xlfn._xlws.FILTER(ChartTable[Valor Encerrado], ChartTable[Mudou?]=1), I2:I11), "")</f>
        <v>145655539.81576177</v>
      </c>
      <c r="M2" s="12" t="s">
        <v>1</v>
      </c>
      <c r="N2" s="12" t="s">
        <v>589</v>
      </c>
      <c r="O2" s="12" t="s">
        <v>590</v>
      </c>
    </row>
    <row r="3" spans="1:15" x14ac:dyDescent="0.25">
      <c r="A3" s="8" t="s">
        <v>572</v>
      </c>
      <c r="B3" s="12">
        <f>SUBTOTAL(109, ChartTable[Novo?])</f>
        <v>520</v>
      </c>
      <c r="C3" s="13">
        <v>0.93525179856115104</v>
      </c>
      <c r="E3" s="12">
        <v>2</v>
      </c>
      <c r="F3" s="15" t="str">
        <v>0000021-01.2021.8.26.0001</v>
      </c>
      <c r="G3" s="15">
        <v>168498899.3374432</v>
      </c>
      <c r="I3" s="12">
        <v>2</v>
      </c>
      <c r="J3" s="15" t="str">
        <v>0000523-01.2021.8.26.0001</v>
      </c>
      <c r="K3" s="15">
        <v>80919744.342089877</v>
      </c>
      <c r="M3" s="15" t="str" cm="1">
        <f t="array" ref="M3:M6">_xlfn._xlws.FILTER(ChartTable[Processo], ChartTable[Situação da Diferença]&lt;&gt;"")</f>
        <v>0000001-01.2021.8.26.0001</v>
      </c>
      <c r="N3" s="15" cm="1">
        <f t="array" ref="N3:N6">_xlfn._xlws.FILTER(ChartTable[Valor Ativo], ChartTable[Situação da Diferença]&lt;&gt;"")</f>
        <v>1234.8399999999999</v>
      </c>
      <c r="O3" s="15" cm="1">
        <f t="array" ref="O3:O6">_xlfn._xlws.FILTER(ChartTable[Diferença], ChartTable[Situação da Diferença]&lt;&gt;"")</f>
        <v>1061.9624000000001</v>
      </c>
    </row>
    <row r="4" spans="1:15" x14ac:dyDescent="0.25">
      <c r="A4" s="8" t="s">
        <v>581</v>
      </c>
      <c r="B4" s="12">
        <f>SUBTOTAL(109, ChartTable[Mudou?])</f>
        <v>4</v>
      </c>
      <c r="C4" s="13">
        <v>7.1942446043165471E-3</v>
      </c>
      <c r="E4" s="12">
        <v>3</v>
      </c>
      <c r="F4" s="15" t="str">
        <v>0000019-01.2021.8.26.0001</v>
      </c>
      <c r="G4" s="15">
        <v>163063450.97171924</v>
      </c>
      <c r="I4" s="12">
        <v>3</v>
      </c>
      <c r="J4" s="15" t="str">
        <v>0000201-01.2021.8.26.0001</v>
      </c>
      <c r="K4" s="15">
        <v>11994.079563754722</v>
      </c>
      <c r="M4" s="15" t="str">
        <v>0000201-01.2021.8.26.0001</v>
      </c>
      <c r="N4" s="15">
        <v>0</v>
      </c>
      <c r="O4" s="15">
        <v>11994.079563754722</v>
      </c>
    </row>
    <row r="5" spans="1:15" x14ac:dyDescent="0.25">
      <c r="A5" s="8" t="s">
        <v>571</v>
      </c>
      <c r="B5" s="12">
        <f>SUBTOTAL(103, ChartTable[Processo])</f>
        <v>556</v>
      </c>
      <c r="E5" s="12">
        <v>4</v>
      </c>
      <c r="F5" s="15" t="str">
        <v>0000022-01.2021.8.26.0001</v>
      </c>
      <c r="G5" s="15">
        <v>93610499.631912887</v>
      </c>
      <c r="I5" s="12">
        <v>4</v>
      </c>
      <c r="J5" s="15" t="str">
        <v>0000001-01.2021.8.26.0001</v>
      </c>
      <c r="K5" s="15">
        <v>2296.8024</v>
      </c>
      <c r="M5" s="15" t="str">
        <v>0000523-01.2021.8.26.0001</v>
      </c>
      <c r="N5" s="15">
        <v>0</v>
      </c>
      <c r="O5" s="15">
        <v>80919744.342089877</v>
      </c>
    </row>
    <row r="6" spans="1:15" x14ac:dyDescent="0.25">
      <c r="E6" s="12">
        <v>5</v>
      </c>
      <c r="F6" s="15" t="str">
        <v>0000018-01.2021.8.26.0001</v>
      </c>
      <c r="G6" s="15">
        <v>87668522.027806029</v>
      </c>
      <c r="I6" s="12">
        <v>5</v>
      </c>
      <c r="J6" s="15" t="str">
        <v/>
      </c>
      <c r="K6" s="15" t="str">
        <v/>
      </c>
      <c r="M6" s="15" t="str">
        <v>0000524-01.2021.8.26.0001</v>
      </c>
      <c r="N6" s="15">
        <v>0</v>
      </c>
      <c r="O6" s="15">
        <v>145655539.81576177</v>
      </c>
    </row>
    <row r="7" spans="1:15" x14ac:dyDescent="0.25">
      <c r="B7" s="8" t="s">
        <v>582</v>
      </c>
      <c r="C7" s="8" t="s">
        <v>583</v>
      </c>
      <c r="E7" s="12">
        <v>6</v>
      </c>
      <c r="F7" s="15" t="str">
        <v>0000023-01.2021.8.26.0001</v>
      </c>
      <c r="G7" s="15">
        <v>52005833.128840491</v>
      </c>
      <c r="I7" s="12">
        <v>6</v>
      </c>
      <c r="J7" s="15" t="str">
        <v/>
      </c>
      <c r="K7" s="15" t="str">
        <v/>
      </c>
    </row>
    <row r="8" spans="1:15" x14ac:dyDescent="0.25">
      <c r="A8" s="19" t="s">
        <v>586</v>
      </c>
      <c r="B8" s="12">
        <f>COUNTIF(ChartTable[Situação da Diferença], "Aumentou")</f>
        <v>4</v>
      </c>
      <c r="C8" s="13" cm="1">
        <f t="array" ref="C8:C9">B8:B9/B10</f>
        <v>1</v>
      </c>
      <c r="E8" s="12">
        <v>7</v>
      </c>
      <c r="F8" s="15" t="str">
        <v>0000017-01.2021.8.26.0001</v>
      </c>
      <c r="G8" s="15">
        <v>47133613.9934441</v>
      </c>
      <c r="I8" s="12">
        <v>7</v>
      </c>
      <c r="J8" s="15" t="str">
        <v/>
      </c>
      <c r="K8" s="15" t="str">
        <v/>
      </c>
    </row>
    <row r="9" spans="1:15" x14ac:dyDescent="0.25">
      <c r="A9" s="19" t="s">
        <v>587</v>
      </c>
      <c r="B9" s="12">
        <f>COUNTIF(ChartTable[Situação da Diferença], "Diminuiu")</f>
        <v>0</v>
      </c>
      <c r="C9" s="13">
        <v>0</v>
      </c>
      <c r="E9" s="12">
        <v>8</v>
      </c>
      <c r="F9" s="15" t="str">
        <v>0000522-01.2021.8.26.0001</v>
      </c>
      <c r="G9" s="15">
        <v>44955413.52338326</v>
      </c>
      <c r="I9" s="12">
        <v>8</v>
      </c>
      <c r="J9" s="15" t="str">
        <v/>
      </c>
      <c r="K9" s="15" t="str">
        <v/>
      </c>
    </row>
    <row r="10" spans="1:15" x14ac:dyDescent="0.25">
      <c r="A10" s="19" t="s">
        <v>581</v>
      </c>
      <c r="B10" s="12">
        <f>B4</f>
        <v>4</v>
      </c>
      <c r="E10" s="12">
        <v>9</v>
      </c>
      <c r="F10" s="15" t="str">
        <v>0000024-01.2021.8.26.0001</v>
      </c>
      <c r="G10" s="15">
        <v>28892129.516022496</v>
      </c>
      <c r="I10" s="12">
        <v>9</v>
      </c>
      <c r="J10" s="15" t="str">
        <v/>
      </c>
      <c r="K10" s="15" t="str">
        <v/>
      </c>
    </row>
    <row r="11" spans="1:15" x14ac:dyDescent="0.25">
      <c r="E11" s="12">
        <v>10</v>
      </c>
      <c r="F11" s="15" t="str">
        <v>0000016-01.2021.8.26.0001</v>
      </c>
      <c r="G11" s="15">
        <v>25340652.684647363</v>
      </c>
      <c r="I11" s="12">
        <v>10</v>
      </c>
      <c r="J11" s="15" t="str">
        <v/>
      </c>
      <c r="K11" s="15" t="str">
        <v/>
      </c>
    </row>
  </sheetData>
  <mergeCells count="3">
    <mergeCell ref="E1:G1"/>
    <mergeCell ref="I1:K1"/>
    <mergeCell ref="M1:O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Home</vt:lpstr>
      <vt:lpstr>Base</vt:lpstr>
      <vt:lpstr>Atualizações</vt:lpstr>
      <vt:lpstr>Chart Base</vt:lpstr>
      <vt:lpstr>KPI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LUIZ AGUERO</dc:creator>
  <cp:lastModifiedBy>ANDRE LUIZ AGUERO</cp:lastModifiedBy>
  <dcterms:created xsi:type="dcterms:W3CDTF">2022-07-14T21:35:04Z</dcterms:created>
  <dcterms:modified xsi:type="dcterms:W3CDTF">2022-07-15T17:47:31Z</dcterms:modified>
</cp:coreProperties>
</file>